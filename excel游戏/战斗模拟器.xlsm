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Default Extension="emf" ContentType="image/x-emf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战斗模拟" sheetId="1" r:id="rId1"/>
    <sheet name="技能" sheetId="2" r:id="rId2"/>
    <sheet name="装备" sheetId="3" r:id="rId3"/>
    <sheet name="战士" sheetId="4" r:id="rId4"/>
    <sheet name="弓箭" sheetId="5" r:id="rId5"/>
    <sheet name="法师" sheetId="6" r:id="rId6"/>
    <sheet name="NPC" sheetId="7" r:id="rId7"/>
    <sheet name="NPC数值" sheetId="8" r:id="rId8"/>
  </sheets>
  <definedNames>
    <definedName name="_xlnm._FilterDatabase" localSheetId="0" hidden="1">战斗模拟!$L$11:$Q$16</definedName>
    <definedName name="_xlnm._FilterDatabase" localSheetId="3" hidden="1">战士!$K$4:$L$5</definedName>
  </definedNames>
  <calcPr calcId="124519"/>
</workbook>
</file>

<file path=xl/calcChain.xml><?xml version="1.0" encoding="utf-8"?>
<calcChain xmlns="http://schemas.openxmlformats.org/spreadsheetml/2006/main">
  <c r="Q23" i="1"/>
  <c r="Q22"/>
  <c r="Q21"/>
  <c r="Q20"/>
  <c r="Q19"/>
  <c r="Q18"/>
  <c r="Q17"/>
  <c r="Q16"/>
  <c r="P23"/>
  <c r="P22"/>
  <c r="P21"/>
  <c r="P20"/>
  <c r="P19"/>
  <c r="P18"/>
  <c r="P17"/>
  <c r="P16"/>
  <c r="O23"/>
  <c r="O22"/>
  <c r="O21"/>
  <c r="O20"/>
  <c r="O19"/>
  <c r="O18"/>
  <c r="O17"/>
  <c r="O16"/>
  <c r="R23"/>
  <c r="R22"/>
  <c r="R21"/>
  <c r="R20"/>
  <c r="R19"/>
  <c r="R18"/>
  <c r="R17"/>
  <c r="R16"/>
  <c r="J24"/>
  <c r="J25" s="1"/>
  <c r="H24"/>
  <c r="H26" s="1"/>
  <c r="J15"/>
  <c r="H15"/>
  <c r="V14" i="6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V10" i="1" s="1"/>
  <c r="U10" i="6"/>
  <c r="V9" i="1" s="1"/>
  <c r="T10" i="6"/>
  <c r="V8" i="1" s="1"/>
  <c r="S10" i="6"/>
  <c r="R10"/>
  <c r="V6" i="1" s="1"/>
  <c r="Q10" i="6"/>
  <c r="V5" i="1" s="1"/>
  <c r="P10" i="6"/>
  <c r="O10"/>
  <c r="V3" i="1" s="1"/>
  <c r="P10" i="5"/>
  <c r="O11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V10"/>
  <c r="U10"/>
  <c r="T10"/>
  <c r="S10"/>
  <c r="R10"/>
  <c r="Q10"/>
  <c r="O10"/>
  <c r="U3" i="1" s="1"/>
  <c r="V14" i="4"/>
  <c r="V13"/>
  <c r="V12"/>
  <c r="V11"/>
  <c r="V10"/>
  <c r="U14"/>
  <c r="U13"/>
  <c r="U12"/>
  <c r="U11"/>
  <c r="U10"/>
  <c r="T14"/>
  <c r="T13"/>
  <c r="T12"/>
  <c r="T11"/>
  <c r="T10"/>
  <c r="S10"/>
  <c r="S14"/>
  <c r="S13"/>
  <c r="S12"/>
  <c r="S11"/>
  <c r="R14"/>
  <c r="R13"/>
  <c r="R12"/>
  <c r="R11"/>
  <c r="R10"/>
  <c r="Q14"/>
  <c r="Q13"/>
  <c r="Q12"/>
  <c r="Q11"/>
  <c r="Q10"/>
  <c r="P14"/>
  <c r="P13"/>
  <c r="P12"/>
  <c r="P11"/>
  <c r="P10"/>
  <c r="O14"/>
  <c r="O13"/>
  <c r="O12"/>
  <c r="O11"/>
  <c r="O10"/>
  <c r="M3" i="1"/>
  <c r="M8" s="1"/>
  <c r="G13" i="2"/>
  <c r="G12"/>
  <c r="F12"/>
  <c r="E12"/>
  <c r="F13"/>
  <c r="E13"/>
  <c r="D13"/>
  <c r="D12"/>
  <c r="P15" i="1"/>
  <c r="C17" i="3"/>
  <c r="C16"/>
  <c r="C15"/>
  <c r="C14"/>
  <c r="C13"/>
  <c r="C12"/>
  <c r="C11"/>
  <c r="C10"/>
  <c r="C9"/>
  <c r="C8"/>
  <c r="C7"/>
  <c r="C6"/>
  <c r="C5"/>
  <c r="C4"/>
  <c r="V7" i="1" l="1"/>
  <c r="V4"/>
  <c r="U5"/>
  <c r="U7"/>
  <c r="U9"/>
  <c r="U10"/>
  <c r="T3"/>
  <c r="T5"/>
  <c r="H25"/>
  <c r="T9"/>
  <c r="H22" s="1"/>
  <c r="M10"/>
  <c r="M9"/>
  <c r="M11"/>
  <c r="U6"/>
  <c r="U8"/>
  <c r="J26"/>
  <c r="U4"/>
  <c r="T4"/>
  <c r="T6"/>
  <c r="T8"/>
  <c r="T10"/>
  <c r="T7"/>
  <c r="N3"/>
  <c r="N5" s="1"/>
  <c r="M6"/>
  <c r="M5"/>
  <c r="Q15"/>
  <c r="M7"/>
  <c r="M4"/>
  <c r="O3"/>
  <c r="O9" s="1"/>
  <c r="N4" l="1"/>
  <c r="N6"/>
  <c r="N11"/>
  <c r="N9"/>
  <c r="H23"/>
  <c r="J23"/>
  <c r="H20"/>
  <c r="H17"/>
  <c r="H18"/>
  <c r="H21"/>
  <c r="J21"/>
  <c r="O10"/>
  <c r="O11"/>
  <c r="N8"/>
  <c r="N10"/>
  <c r="J22" s="1"/>
  <c r="J20"/>
  <c r="N7"/>
  <c r="J18"/>
  <c r="J17"/>
  <c r="O8"/>
  <c r="O5"/>
  <c r="O7"/>
  <c r="O6"/>
  <c r="O4"/>
  <c r="H19" l="1"/>
  <c r="J19"/>
  <c r="J16"/>
  <c r="H16"/>
</calcChain>
</file>

<file path=xl/sharedStrings.xml><?xml version="1.0" encoding="utf-8"?>
<sst xmlns="http://schemas.openxmlformats.org/spreadsheetml/2006/main" count="740" uniqueCount="156">
  <si>
    <t>职业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</si>
  <si>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</si>
  <si>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</si>
  <si>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</si>
  <si>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总计</t>
    <phoneticPr fontId="1" type="noConversion"/>
  </si>
  <si>
    <t>弓箭</t>
    <phoneticPr fontId="1" type="noConversion"/>
  </si>
  <si>
    <t>等级</t>
    <phoneticPr fontId="1" type="noConversion"/>
  </si>
  <si>
    <t>体质</t>
    <phoneticPr fontId="1" type="noConversion"/>
  </si>
  <si>
    <t>物攻</t>
    <phoneticPr fontId="1" type="noConversion"/>
  </si>
  <si>
    <t>生命</t>
    <phoneticPr fontId="1" type="noConversion"/>
  </si>
  <si>
    <t>物防</t>
    <phoneticPr fontId="1" type="noConversion"/>
  </si>
  <si>
    <t>法攻</t>
    <phoneticPr fontId="1" type="noConversion"/>
  </si>
  <si>
    <t>法防</t>
    <phoneticPr fontId="1" type="noConversion"/>
  </si>
  <si>
    <t>战士</t>
    <phoneticPr fontId="1" type="noConversion"/>
  </si>
  <si>
    <t>法师</t>
    <phoneticPr fontId="1" type="noConversion"/>
  </si>
  <si>
    <t>VS</t>
    <phoneticPr fontId="1" type="noConversion"/>
  </si>
  <si>
    <t>A</t>
    <phoneticPr fontId="1" type="noConversion"/>
  </si>
  <si>
    <t>B</t>
    <phoneticPr fontId="1" type="noConversion"/>
  </si>
  <si>
    <t>职业</t>
    <phoneticPr fontId="1" type="noConversion"/>
  </si>
  <si>
    <t>战士</t>
    <phoneticPr fontId="1" type="noConversion"/>
  </si>
  <si>
    <t>弓箭</t>
    <phoneticPr fontId="1" type="noConversion"/>
  </si>
  <si>
    <t>法师</t>
    <phoneticPr fontId="1" type="noConversion"/>
  </si>
  <si>
    <t>火球术</t>
  </si>
  <si>
    <t>火球术</t>
    <phoneticPr fontId="1" type="noConversion"/>
  </si>
  <si>
    <t>挥砍</t>
  </si>
  <si>
    <t>挥砍</t>
    <phoneticPr fontId="1" type="noConversion"/>
  </si>
  <si>
    <t>追踪箭</t>
  </si>
  <si>
    <t>追踪箭</t>
    <phoneticPr fontId="1" type="noConversion"/>
  </si>
  <si>
    <t>无技能</t>
    <phoneticPr fontId="1" type="noConversion"/>
  </si>
  <si>
    <t>技能</t>
    <phoneticPr fontId="1" type="noConversion"/>
  </si>
  <si>
    <t>技能伤害</t>
    <phoneticPr fontId="1" type="noConversion"/>
  </si>
  <si>
    <t>技能发动机率</t>
    <phoneticPr fontId="1" type="noConversion"/>
  </si>
  <si>
    <t>战斗次数</t>
    <phoneticPr fontId="1" type="noConversion"/>
  </si>
  <si>
    <t>A胜</t>
    <phoneticPr fontId="1" type="noConversion"/>
  </si>
  <si>
    <t>B胜</t>
    <phoneticPr fontId="1" type="noConversion"/>
  </si>
  <si>
    <t>战士</t>
  </si>
  <si>
    <t>法师</t>
  </si>
  <si>
    <t>装备</t>
  </si>
  <si>
    <t>装备</t>
    <phoneticPr fontId="1" type="noConversion"/>
  </si>
  <si>
    <t>等级</t>
  </si>
  <si>
    <t>等级</t>
    <phoneticPr fontId="1" type="noConversion"/>
  </si>
  <si>
    <t>头</t>
    <phoneticPr fontId="1" type="noConversion"/>
  </si>
  <si>
    <t>衣</t>
    <phoneticPr fontId="1" type="noConversion"/>
  </si>
  <si>
    <t>气血</t>
    <phoneticPr fontId="1" type="noConversion"/>
  </si>
  <si>
    <t>职业</t>
  </si>
  <si>
    <t>职业</t>
    <phoneticPr fontId="1" type="noConversion"/>
  </si>
  <si>
    <t>战士</t>
    <phoneticPr fontId="1" type="noConversion"/>
  </si>
  <si>
    <t>鞋</t>
    <phoneticPr fontId="1" type="noConversion"/>
  </si>
  <si>
    <t>物防</t>
  </si>
  <si>
    <t>物防</t>
    <phoneticPr fontId="1" type="noConversion"/>
  </si>
  <si>
    <t>法防</t>
  </si>
  <si>
    <t>法防</t>
    <phoneticPr fontId="1" type="noConversion"/>
  </si>
  <si>
    <t>武器</t>
    <phoneticPr fontId="1" type="noConversion"/>
  </si>
  <si>
    <t>戒指</t>
    <phoneticPr fontId="1" type="noConversion"/>
  </si>
  <si>
    <t>物攻</t>
  </si>
  <si>
    <t>物攻</t>
    <phoneticPr fontId="1" type="noConversion"/>
  </si>
  <si>
    <t>法攻</t>
  </si>
  <si>
    <t>法攻</t>
    <phoneticPr fontId="1" type="noConversion"/>
  </si>
  <si>
    <t>弓箭</t>
  </si>
  <si>
    <t>弓箭</t>
    <phoneticPr fontId="1" type="noConversion"/>
  </si>
  <si>
    <t>法师</t>
    <phoneticPr fontId="1" type="noConversion"/>
  </si>
  <si>
    <t>10级武器</t>
  </si>
  <si>
    <t>10级头</t>
  </si>
  <si>
    <t>10级衣</t>
  </si>
  <si>
    <t>10级鞋</t>
  </si>
  <si>
    <t>10级戒指</t>
  </si>
  <si>
    <t>VS</t>
    <phoneticPr fontId="1" type="noConversion"/>
  </si>
  <si>
    <t>属性</t>
    <phoneticPr fontId="1" type="noConversion"/>
  </si>
  <si>
    <t>职业</t>
    <phoneticPr fontId="1" type="noConversion"/>
  </si>
  <si>
    <t>衣</t>
    <phoneticPr fontId="1" type="noConversion"/>
  </si>
  <si>
    <t>鞋</t>
    <phoneticPr fontId="1" type="noConversion"/>
  </si>
  <si>
    <t>装备佩带：</t>
    <phoneticPr fontId="1" type="noConversion"/>
  </si>
  <si>
    <t>装备加成属性：</t>
    <phoneticPr fontId="1" type="noConversion"/>
  </si>
  <si>
    <t>法防</t>
    <phoneticPr fontId="1" type="noConversion"/>
  </si>
  <si>
    <t>法攻</t>
    <phoneticPr fontId="1" type="noConversion"/>
  </si>
  <si>
    <t>部件</t>
    <phoneticPr fontId="1" type="noConversion"/>
  </si>
  <si>
    <t>无</t>
  </si>
  <si>
    <t>人物属性点属性：</t>
    <phoneticPr fontId="1" type="noConversion"/>
  </si>
  <si>
    <t>生命</t>
  </si>
  <si>
    <t>生命</t>
    <phoneticPr fontId="1" type="noConversion"/>
  </si>
  <si>
    <t>人物总属性：</t>
    <phoneticPr fontId="1" type="noConversion"/>
  </si>
  <si>
    <t>需要生成多少级装备属性(0-10)</t>
    <phoneticPr fontId="1" type="noConversion"/>
  </si>
  <si>
    <t>1级武器</t>
  </si>
  <si>
    <t>1级头</t>
  </si>
  <si>
    <t>1级衣</t>
  </si>
  <si>
    <t>1级鞋</t>
  </si>
  <si>
    <t>1级戒指</t>
  </si>
  <si>
    <t>2级武器</t>
  </si>
  <si>
    <t>3级武器</t>
  </si>
  <si>
    <t>4级武器</t>
  </si>
  <si>
    <t>5级武器</t>
  </si>
  <si>
    <t>6级武器</t>
  </si>
  <si>
    <t>7级武器</t>
  </si>
  <si>
    <t>8级武器</t>
  </si>
  <si>
    <t>9级武器</t>
  </si>
  <si>
    <t>2级头</t>
  </si>
  <si>
    <t>3级头</t>
  </si>
  <si>
    <t>4级头</t>
  </si>
  <si>
    <t>5级头</t>
  </si>
  <si>
    <t>6级头</t>
  </si>
  <si>
    <t>7级头</t>
  </si>
  <si>
    <t>8级头</t>
  </si>
  <si>
    <t>9级头</t>
  </si>
  <si>
    <t>2级衣</t>
  </si>
  <si>
    <t>3级衣</t>
  </si>
  <si>
    <t>4级衣</t>
  </si>
  <si>
    <t>5级衣</t>
  </si>
  <si>
    <t>6级衣</t>
  </si>
  <si>
    <t>7级衣</t>
  </si>
  <si>
    <t>8级衣</t>
  </si>
  <si>
    <t>9级衣</t>
  </si>
  <si>
    <t>2级鞋</t>
  </si>
  <si>
    <t>3级鞋</t>
  </si>
  <si>
    <t>4级鞋</t>
  </si>
  <si>
    <t>5级鞋</t>
  </si>
  <si>
    <t>6级鞋</t>
  </si>
  <si>
    <t>7级鞋</t>
  </si>
  <si>
    <t>8级鞋</t>
  </si>
  <si>
    <t>9级鞋</t>
  </si>
  <si>
    <t>2级戒指</t>
  </si>
  <si>
    <t>3级戒指</t>
  </si>
  <si>
    <t>4级戒指</t>
  </si>
  <si>
    <t>5级戒指</t>
  </si>
  <si>
    <t>6级戒指</t>
  </si>
  <si>
    <t>7级戒指</t>
  </si>
  <si>
    <t>8级戒指</t>
  </si>
  <si>
    <t>9级戒指</t>
  </si>
  <si>
    <t>装备等级：</t>
    <phoneticPr fontId="1" type="noConversion"/>
  </si>
  <si>
    <t>NPC</t>
  </si>
  <si>
    <t>NPC</t>
    <phoneticPr fontId="1" type="noConversion"/>
  </si>
  <si>
    <t>等级</t>
    <phoneticPr fontId="1" type="noConversion"/>
  </si>
  <si>
    <t>输入怪物最大等级：</t>
    <phoneticPr fontId="1" type="noConversion"/>
  </si>
  <si>
    <t>法攻</t>
    <phoneticPr fontId="1" type="noConversion"/>
  </si>
  <si>
    <t>NPC</t>
    <phoneticPr fontId="1" type="noConversion"/>
  </si>
  <si>
    <t>参数</t>
    <phoneticPr fontId="1" type="noConversion"/>
  </si>
  <si>
    <t>NPC</t>
    <phoneticPr fontId="1" type="noConversion"/>
  </si>
  <si>
    <t>装备属性：</t>
    <phoneticPr fontId="1" type="noConversion"/>
  </si>
  <si>
    <t>命中</t>
    <phoneticPr fontId="1" type="noConversion"/>
  </si>
  <si>
    <t>闪避</t>
    <phoneticPr fontId="1" type="noConversion"/>
  </si>
  <si>
    <t>暴击</t>
    <phoneticPr fontId="1" type="noConversion"/>
  </si>
  <si>
    <t>命中</t>
  </si>
  <si>
    <t>命中</t>
    <phoneticPr fontId="1" type="noConversion"/>
  </si>
  <si>
    <t>闪避</t>
  </si>
  <si>
    <t>闪避</t>
    <phoneticPr fontId="1" type="noConversion"/>
  </si>
  <si>
    <t>暴击</t>
  </si>
  <si>
    <t>暴击</t>
    <phoneticPr fontId="1" type="noConversion"/>
  </si>
  <si>
    <t>1级头</t>
    <phoneticPr fontId="1" type="noConversion"/>
  </si>
  <si>
    <t>1级衣</t>
    <phoneticPr fontId="1" type="noConversion"/>
  </si>
  <si>
    <t>1级武器</t>
    <phoneticPr fontId="1" type="noConversion"/>
  </si>
  <si>
    <t>10级武器</t>
    <phoneticPr fontId="1" type="noConversion"/>
  </si>
  <si>
    <t>10级头</t>
    <phoneticPr fontId="1" type="noConversion"/>
  </si>
  <si>
    <t>10级衣</t>
    <phoneticPr fontId="1" type="noConversion"/>
  </si>
  <si>
    <t>10级鞋</t>
    <phoneticPr fontId="1" type="noConversion"/>
  </si>
  <si>
    <t>10级戒指</t>
    <phoneticPr fontId="1" type="noConversion"/>
  </si>
  <si>
    <t>10级武器</t>
    <phoneticPr fontId="1" type="noConversion"/>
  </si>
  <si>
    <t>NPC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</si>
</sst>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套装生成"/>
  <ax:ocxPr ax:name="Size" ax:value="1852;8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582;9578"/>
  <ax:ocxPr ax:name="Min" ax:value="19"/>
  <ax:ocxPr ax:name="Max" ax:value="200"/>
  <ax:ocxPr ax:name="Position" ax:value="28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批量战斗"/>
  <ax:ocxPr ax:name="Size" ax:value="3466;926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2699;95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战斗"/>
  <ax:ocxPr ax:name="Size" ax:value="3043;100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除"/>
  <ax:ocxPr ax:name="Size" ax:value="4604;18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装备属性"/>
  <ax:ocxPr ax:name="Size" ax:value="4974;185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怪物数值"/>
  <ax:ocxPr ax:name="Size" ax:value="3466;9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V41"/>
  <sheetViews>
    <sheetView tabSelected="1" workbookViewId="0">
      <selection activeCell="B17" sqref="B17"/>
    </sheetView>
  </sheetViews>
  <sheetFormatPr defaultRowHeight="13.5"/>
  <cols>
    <col min="1" max="1" width="9.75" customWidth="1"/>
    <col min="2" max="2" width="52.25" customWidth="1"/>
    <col min="5" max="5" width="7" customWidth="1"/>
    <col min="6" max="6" width="8.125" customWidth="1"/>
  </cols>
  <sheetData>
    <row r="2" spans="2:22">
      <c r="B2" s="1" t="s">
        <v>45</v>
      </c>
      <c r="C2" t="s">
        <v>7</v>
      </c>
      <c r="D2" t="s">
        <v>1</v>
      </c>
      <c r="E2" t="s">
        <v>2</v>
      </c>
      <c r="F2" t="s">
        <v>3</v>
      </c>
      <c r="G2" t="s">
        <v>4</v>
      </c>
      <c r="J2" t="s">
        <v>77</v>
      </c>
      <c r="L2" t="s">
        <v>0</v>
      </c>
      <c r="M2" t="s">
        <v>13</v>
      </c>
      <c r="N2" t="s">
        <v>5</v>
      </c>
      <c r="O2" t="s">
        <v>14</v>
      </c>
      <c r="Q2" t="s">
        <v>136</v>
      </c>
      <c r="S2" t="s">
        <v>68</v>
      </c>
      <c r="T2" t="s">
        <v>13</v>
      </c>
      <c r="U2" t="s">
        <v>5</v>
      </c>
      <c r="V2" t="s">
        <v>14</v>
      </c>
    </row>
    <row r="3" spans="2:22">
      <c r="B3" s="1" t="s">
        <v>13</v>
      </c>
      <c r="C3">
        <v>4</v>
      </c>
      <c r="D3">
        <v>4</v>
      </c>
      <c r="E3">
        <v>1</v>
      </c>
      <c r="F3">
        <v>1</v>
      </c>
      <c r="G3">
        <v>10</v>
      </c>
      <c r="L3" t="s">
        <v>6</v>
      </c>
      <c r="M3">
        <f>O15</f>
        <v>100</v>
      </c>
      <c r="N3">
        <f>M3</f>
        <v>100</v>
      </c>
      <c r="O3">
        <f>M3</f>
        <v>100</v>
      </c>
      <c r="Q3" t="s">
        <v>127</v>
      </c>
      <c r="S3" t="s">
        <v>9</v>
      </c>
      <c r="T3">
        <f>战士!O10+战士!O11+战士!O12+战士!O13+战士!O14</f>
        <v>4000</v>
      </c>
      <c r="U3">
        <f>弓箭!O10+弓箭!O11+弓箭!O12+弓箭!O13+弓箭!O14</f>
        <v>3500</v>
      </c>
      <c r="V3">
        <f>法师!O10+法师!O11+法师!O12+法师!O13+法师!O14</f>
        <v>3000</v>
      </c>
    </row>
    <row r="4" spans="2:22">
      <c r="B4" s="1" t="s">
        <v>14</v>
      </c>
      <c r="C4">
        <v>2</v>
      </c>
      <c r="D4">
        <v>1</v>
      </c>
      <c r="E4">
        <v>2</v>
      </c>
      <c r="F4">
        <v>4</v>
      </c>
      <c r="G4">
        <v>10</v>
      </c>
      <c r="L4" t="s">
        <v>9</v>
      </c>
      <c r="M4">
        <f>C3*C8*M3</f>
        <v>8000</v>
      </c>
      <c r="N4">
        <f>C5*C8*N3</f>
        <v>6000</v>
      </c>
      <c r="O4">
        <f>C4*C8*O3</f>
        <v>4000</v>
      </c>
      <c r="Q4" s="1">
        <v>10</v>
      </c>
      <c r="S4" t="s">
        <v>8</v>
      </c>
      <c r="T4">
        <f>战士!P10+战士!P11+战士!P12+战士!P13+战士!P14</f>
        <v>900</v>
      </c>
      <c r="U4">
        <f>弓箭!P10+弓箭!P11+弓箭!P12+弓箭!P13+弓箭!P14</f>
        <v>1000</v>
      </c>
      <c r="V4">
        <f>法师!P10+法师!P11+法师!P12+法师!P13+法师!P14</f>
        <v>0</v>
      </c>
    </row>
    <row r="5" spans="2:22">
      <c r="B5" s="1" t="s">
        <v>5</v>
      </c>
      <c r="C5">
        <v>3</v>
      </c>
      <c r="D5">
        <v>3</v>
      </c>
      <c r="E5">
        <v>2</v>
      </c>
      <c r="F5">
        <v>2</v>
      </c>
      <c r="G5">
        <v>10</v>
      </c>
      <c r="L5" t="s">
        <v>8</v>
      </c>
      <c r="M5">
        <f>(D3*D9+E3*E10)*M3</f>
        <v>1300</v>
      </c>
      <c r="N5">
        <f>(D5*D9+E5*D10)*N3</f>
        <v>1300</v>
      </c>
      <c r="O5">
        <f>(D4*D9+E4*D10)*O3</f>
        <v>700</v>
      </c>
      <c r="S5" t="s">
        <v>10</v>
      </c>
      <c r="T5">
        <f>战士!Q10+战士!Q11+战士!Q12+战士!Q13+战士!Q14</f>
        <v>750</v>
      </c>
      <c r="U5">
        <f>弓箭!Q10+弓箭!Q11+弓箭!Q12+弓箭!Q13+弓箭!Q14</f>
        <v>600</v>
      </c>
      <c r="V5">
        <f>法师!Q10+法师!Q11+法师!Q12+法师!Q13+法师!Q14</f>
        <v>450</v>
      </c>
    </row>
    <row r="6" spans="2:22">
      <c r="B6" s="1"/>
      <c r="L6" t="s">
        <v>10</v>
      </c>
      <c r="M6">
        <f>(D3*E9+E3*E10)*M3</f>
        <v>900</v>
      </c>
      <c r="N6">
        <f>(D5*E9+E5*E10)*N3</f>
        <v>800</v>
      </c>
      <c r="O6">
        <f>(D4*D9+E4*E10)*O3</f>
        <v>500</v>
      </c>
      <c r="S6" t="s">
        <v>11</v>
      </c>
      <c r="T6">
        <f>战士!R10+战士!R11+战士!R12+战士!R13+战士!R14</f>
        <v>0</v>
      </c>
      <c r="U6">
        <f>弓箭!R10+弓箭!R11+弓箭!R12+弓箭!R13+弓箭!R14</f>
        <v>0</v>
      </c>
      <c r="V6">
        <f>法师!R10+法师!R11+法师!R12+法师!R13+法师!R14</f>
        <v>1100</v>
      </c>
    </row>
    <row r="7" spans="2:22">
      <c r="B7" s="1" t="s">
        <v>67</v>
      </c>
      <c r="C7" t="s">
        <v>9</v>
      </c>
      <c r="D7" t="s">
        <v>8</v>
      </c>
      <c r="E7" t="s">
        <v>10</v>
      </c>
      <c r="F7" t="s">
        <v>11</v>
      </c>
      <c r="G7" t="s">
        <v>12</v>
      </c>
      <c r="H7" t="s">
        <v>137</v>
      </c>
      <c r="I7" t="s">
        <v>138</v>
      </c>
      <c r="J7" t="s">
        <v>139</v>
      </c>
      <c r="L7" t="s">
        <v>11</v>
      </c>
      <c r="M7">
        <f>F3*F11*M3</f>
        <v>400</v>
      </c>
      <c r="N7">
        <f>F5*F11*N3</f>
        <v>800</v>
      </c>
      <c r="O7">
        <f>F4*F11*O3</f>
        <v>1600</v>
      </c>
      <c r="S7" t="s">
        <v>12</v>
      </c>
      <c r="T7">
        <f>战士!S10+战士!S11+战士!S12+战士!S13+战士!S14</f>
        <v>500</v>
      </c>
      <c r="U7">
        <f>弓箭!S10+弓箭!S11+弓箭!S12+弓箭!S13+弓箭!S14</f>
        <v>600</v>
      </c>
      <c r="V7">
        <f>法师!S10+法师!S11+法师!S12+法师!S13+法师!S14</f>
        <v>750</v>
      </c>
    </row>
    <row r="8" spans="2:22">
      <c r="B8" s="1" t="s">
        <v>7</v>
      </c>
      <c r="C8">
        <v>20</v>
      </c>
      <c r="L8" t="s">
        <v>12</v>
      </c>
      <c r="M8">
        <f>(F3*G11+E3*G10)*M3</f>
        <v>300</v>
      </c>
      <c r="N8">
        <f>(F5*G11+E5*G10)*N3</f>
        <v>600</v>
      </c>
      <c r="O8">
        <f>(F4*G11+E4*G10)*O3</f>
        <v>1000</v>
      </c>
      <c r="S8" t="s">
        <v>137</v>
      </c>
      <c r="T8">
        <f>战士!T10+战士!T11+战士!T12+战士!T13+战士!T14</f>
        <v>200</v>
      </c>
      <c r="U8">
        <f>弓箭!T10+弓箭!T11+弓箭!T12+弓箭!T13+弓箭!T14</f>
        <v>400</v>
      </c>
      <c r="V8">
        <f>法师!T10+法师!T11+法师!T12+法师!T13+法师!T14</f>
        <v>300</v>
      </c>
    </row>
    <row r="9" spans="2:22">
      <c r="B9" s="1" t="s">
        <v>1</v>
      </c>
      <c r="D9">
        <v>3</v>
      </c>
      <c r="E9">
        <v>2</v>
      </c>
      <c r="H9">
        <v>1</v>
      </c>
      <c r="L9" t="s">
        <v>137</v>
      </c>
      <c r="M9">
        <f>(D3*H9+E3*H10+F3*H11)*M3</f>
        <v>700</v>
      </c>
      <c r="N9">
        <f>(D5*H9+E5*H10+F5*H11)*N3</f>
        <v>900</v>
      </c>
      <c r="O9">
        <f>(D4*H9+E4*H10+F4*H11)*O3</f>
        <v>900</v>
      </c>
      <c r="S9" t="s">
        <v>138</v>
      </c>
      <c r="T9">
        <f>战士!U10+战士!U11+战士!U12+战士!U13+战士!U14</f>
        <v>120</v>
      </c>
      <c r="U9">
        <f>弓箭!U10+弓箭!U11+弓箭!U12+弓箭!U13+弓箭!U14</f>
        <v>200</v>
      </c>
      <c r="V9">
        <f>法师!U10+法师!U11+法师!U12+法师!U13+法师!U14</f>
        <v>160</v>
      </c>
    </row>
    <row r="10" spans="2:22">
      <c r="B10" s="1" t="s">
        <v>2</v>
      </c>
      <c r="D10">
        <v>2</v>
      </c>
      <c r="E10">
        <v>1</v>
      </c>
      <c r="G10">
        <v>1</v>
      </c>
      <c r="H10">
        <v>2</v>
      </c>
      <c r="I10">
        <v>1</v>
      </c>
      <c r="J10">
        <v>1</v>
      </c>
      <c r="L10" t="s">
        <v>138</v>
      </c>
      <c r="M10">
        <f>E3*I10*M3</f>
        <v>100</v>
      </c>
      <c r="N10">
        <f>E5*I10*N3</f>
        <v>200</v>
      </c>
      <c r="O10">
        <f>E4*I10*O3</f>
        <v>200</v>
      </c>
      <c r="S10" t="s">
        <v>139</v>
      </c>
      <c r="T10">
        <f>战士!V10+战士!V11+战士!V12+战士!V13+战士!V14</f>
        <v>120</v>
      </c>
      <c r="U10">
        <f>弓箭!V10+弓箭!V11+弓箭!V12+弓箭!V13+弓箭!V14</f>
        <v>200</v>
      </c>
      <c r="V10">
        <f>法师!V10+法师!V11+法师!V12+法师!V13+法师!V14</f>
        <v>160</v>
      </c>
    </row>
    <row r="11" spans="2:22">
      <c r="B11" s="1" t="s">
        <v>3</v>
      </c>
      <c r="F11">
        <v>4</v>
      </c>
      <c r="G11">
        <v>2</v>
      </c>
      <c r="H11">
        <v>1</v>
      </c>
      <c r="L11" t="s">
        <v>139</v>
      </c>
      <c r="M11">
        <f>E3*J10*M3</f>
        <v>100</v>
      </c>
      <c r="N11">
        <f>E5*J10*N3</f>
        <v>200</v>
      </c>
      <c r="O11">
        <f>E4*J10*O3</f>
        <v>200</v>
      </c>
    </row>
    <row r="14" spans="2:22">
      <c r="G14" t="s">
        <v>0</v>
      </c>
      <c r="H14" t="s">
        <v>36</v>
      </c>
      <c r="I14" t="s">
        <v>15</v>
      </c>
      <c r="J14" t="s">
        <v>128</v>
      </c>
      <c r="L14" t="s">
        <v>80</v>
      </c>
      <c r="N14" t="s">
        <v>0</v>
      </c>
      <c r="O14" t="s">
        <v>13</v>
      </c>
      <c r="P14" t="s">
        <v>5</v>
      </c>
      <c r="Q14" t="s">
        <v>14</v>
      </c>
      <c r="R14" t="s">
        <v>135</v>
      </c>
    </row>
    <row r="15" spans="2:22">
      <c r="G15" t="s">
        <v>6</v>
      </c>
      <c r="H15">
        <f>HLOOKUP(H14,O14:R23,2,FALSE)</f>
        <v>100</v>
      </c>
      <c r="J15">
        <f>HLOOKUP(J14,O14:R23,2,FALSE)</f>
        <v>100</v>
      </c>
      <c r="N15" t="s">
        <v>6</v>
      </c>
      <c r="O15">
        <v>100</v>
      </c>
      <c r="P15">
        <f>O15</f>
        <v>100</v>
      </c>
      <c r="Q15">
        <f>O15</f>
        <v>100</v>
      </c>
      <c r="R15">
        <v>100</v>
      </c>
    </row>
    <row r="16" spans="2:22">
      <c r="G16" t="s">
        <v>9</v>
      </c>
      <c r="H16">
        <f>HLOOKUP(H14,O14:R23,3,FALSE)</f>
        <v>7000</v>
      </c>
      <c r="J16">
        <f>HLOOKUP(J14,O14:R23,3,FALSE)</f>
        <v>6800</v>
      </c>
      <c r="N16" t="s">
        <v>9</v>
      </c>
      <c r="O16">
        <f>M4+T3</f>
        <v>12000</v>
      </c>
      <c r="P16">
        <f>N4+U3</f>
        <v>9500</v>
      </c>
      <c r="Q16">
        <f>O4+V3</f>
        <v>7000</v>
      </c>
      <c r="R16">
        <f>VLOOKUP(R15,NPC数值!B1:J101,2,FALSE)</f>
        <v>6800</v>
      </c>
    </row>
    <row r="17" spans="2:18">
      <c r="C17" s="1" t="s">
        <v>16</v>
      </c>
      <c r="E17" s="1" t="s">
        <v>17</v>
      </c>
      <c r="G17" t="s">
        <v>8</v>
      </c>
      <c r="H17">
        <f>HLOOKUP(H14,O14:R23,4,FALSE)</f>
        <v>700</v>
      </c>
      <c r="J17">
        <f>HLOOKUP(J14,O14:R23,4,FALSE)</f>
        <v>2600</v>
      </c>
      <c r="N17" t="s">
        <v>8</v>
      </c>
      <c r="O17">
        <f>M5+T4</f>
        <v>2200</v>
      </c>
      <c r="P17">
        <f>N5+U4</f>
        <v>2300</v>
      </c>
      <c r="Q17">
        <f>O5+V4</f>
        <v>700</v>
      </c>
      <c r="R17">
        <f>VLOOKUP(R15,NPC数值!B1:J101,3,FALSE)</f>
        <v>2600</v>
      </c>
    </row>
    <row r="18" spans="2:18">
      <c r="B18" s="1"/>
      <c r="C18" s="1" t="s">
        <v>14</v>
      </c>
      <c r="D18" s="1" t="s">
        <v>66</v>
      </c>
      <c r="E18" s="1" t="s">
        <v>155</v>
      </c>
      <c r="G18" t="s">
        <v>10</v>
      </c>
      <c r="H18">
        <f>HLOOKUP(H14,O14:R23,5,FALSE)</f>
        <v>950</v>
      </c>
      <c r="J18">
        <f>HLOOKUP(J14,O14:R23,5,FALSE)</f>
        <v>2000</v>
      </c>
      <c r="N18" t="s">
        <v>10</v>
      </c>
      <c r="O18">
        <f>M6+T5</f>
        <v>1650</v>
      </c>
      <c r="P18">
        <f>N6+U5</f>
        <v>1400</v>
      </c>
      <c r="Q18">
        <f>O6+V5</f>
        <v>950</v>
      </c>
      <c r="R18">
        <f>VLOOKUP(R15,NPC数值!B1:J101,4,FALSE)</f>
        <v>2000</v>
      </c>
    </row>
    <row r="19" spans="2:18">
      <c r="B19" s="1"/>
      <c r="C19" s="1">
        <v>0</v>
      </c>
      <c r="D19" s="1"/>
      <c r="E19">
        <v>0</v>
      </c>
      <c r="G19" t="s">
        <v>11</v>
      </c>
      <c r="H19">
        <f>HLOOKUP(H14,O14:R23,6,FALSE)</f>
        <v>2700</v>
      </c>
      <c r="J19">
        <f>HLOOKUP(J14,O14:R23,6,FALSE)</f>
        <v>2600</v>
      </c>
      <c r="N19" t="s">
        <v>11</v>
      </c>
      <c r="O19">
        <f>M7+T6</f>
        <v>400</v>
      </c>
      <c r="P19">
        <f>N7+U6</f>
        <v>800</v>
      </c>
      <c r="Q19">
        <f>O7+V6</f>
        <v>2700</v>
      </c>
      <c r="R19">
        <f>VLOOKUP(R15,NPC数值!B1:J101,5,FALSE)</f>
        <v>2600</v>
      </c>
    </row>
    <row r="20" spans="2:18">
      <c r="G20" t="s">
        <v>12</v>
      </c>
      <c r="H20">
        <f>HLOOKUP(H14,O14:R23,7,FALSE)</f>
        <v>1750</v>
      </c>
      <c r="J20">
        <f>HLOOKUP(J14,O14:R23,7,FALSE)</f>
        <v>2000</v>
      </c>
      <c r="N20" t="s">
        <v>12</v>
      </c>
      <c r="O20">
        <f>M8+T7</f>
        <v>800</v>
      </c>
      <c r="P20">
        <f>N8+U7</f>
        <v>1200</v>
      </c>
      <c r="Q20">
        <f>O8+V7</f>
        <v>1750</v>
      </c>
      <c r="R20">
        <f>VLOOKUP(R15,NPC数值!B1:J101,6,FALSE)</f>
        <v>2000</v>
      </c>
    </row>
    <row r="21" spans="2:18">
      <c r="G21" t="s">
        <v>137</v>
      </c>
      <c r="H21">
        <f>HLOOKUP(H14,O14:R23,8,FALSE)</f>
        <v>1200</v>
      </c>
      <c r="J21">
        <f>HLOOKUP(J14,O14:R23,8,FALSE)</f>
        <v>500</v>
      </c>
      <c r="N21" t="s">
        <v>137</v>
      </c>
      <c r="O21">
        <f>M9+T8</f>
        <v>900</v>
      </c>
      <c r="P21">
        <f>N9+U7</f>
        <v>1500</v>
      </c>
      <c r="Q21">
        <f>O9+V8</f>
        <v>1200</v>
      </c>
      <c r="R21">
        <f>VLOOKUP(R15,NPC数值!B1:J101,7,FALSE)</f>
        <v>500</v>
      </c>
    </row>
    <row r="22" spans="2:18" s="3" customFormat="1">
      <c r="G22" t="s">
        <v>138</v>
      </c>
      <c r="H22">
        <f>HLOOKUP(H14,O14:R23,9,FALSE)</f>
        <v>360</v>
      </c>
      <c r="I22"/>
      <c r="J22">
        <f>HLOOKUP(J14,O14:R23,9,FALSE)</f>
        <v>100</v>
      </c>
      <c r="N22" t="s">
        <v>138</v>
      </c>
      <c r="O22">
        <f>M10+T9</f>
        <v>220</v>
      </c>
      <c r="P22">
        <f>N10+U9</f>
        <v>400</v>
      </c>
      <c r="Q22">
        <f>O10+V9</f>
        <v>360</v>
      </c>
      <c r="R22" s="3">
        <f>VLOOKUP(R15,NPC数值!B1:J101,8,FALSE)</f>
        <v>100</v>
      </c>
    </row>
    <row r="23" spans="2:18" s="3" customFormat="1">
      <c r="G23" t="s">
        <v>139</v>
      </c>
      <c r="H23">
        <f>HLOOKUP(H14,O14:R23,10,FALSE)</f>
        <v>360</v>
      </c>
      <c r="I23"/>
      <c r="J23">
        <f>HLOOKUP(J14,O14:R23,10,FALSE)</f>
        <v>100</v>
      </c>
      <c r="N23" t="s">
        <v>139</v>
      </c>
      <c r="O23">
        <f>M11+T10</f>
        <v>220</v>
      </c>
      <c r="P23">
        <f>N11+U10</f>
        <v>400</v>
      </c>
      <c r="Q23">
        <f>O11+V10</f>
        <v>360</v>
      </c>
      <c r="R23" s="3">
        <f>VLOOKUP(R15,NPC数值!B1:J101,9,FALSE)</f>
        <v>100</v>
      </c>
    </row>
    <row r="24" spans="2:18" s="3" customFormat="1">
      <c r="G24" t="s">
        <v>29</v>
      </c>
      <c r="H24" t="str">
        <f>HLOOKUP(H14,技能!D10:G13,2,FALSE)</f>
        <v>火球术</v>
      </c>
      <c r="I24"/>
      <c r="J24" t="str">
        <f>HLOOKUP(J14,技能!D10:G13,2,FALSE)</f>
        <v>无技能</v>
      </c>
    </row>
    <row r="25" spans="2:18" s="3" customFormat="1">
      <c r="C25" s="4"/>
      <c r="D25" s="4" t="s">
        <v>32</v>
      </c>
      <c r="E25" s="4" t="s">
        <v>33</v>
      </c>
      <c r="F25" s="4" t="s">
        <v>34</v>
      </c>
      <c r="G25" s="3" t="s">
        <v>30</v>
      </c>
      <c r="H25" s="3">
        <f>HLOOKUP(H24,技能!D11:G13,2,FALSE)</f>
        <v>1.2</v>
      </c>
      <c r="J25" s="3">
        <f>HLOOKUP(J24,技能!D11:G13,2,FALSE)</f>
        <v>0</v>
      </c>
    </row>
    <row r="26" spans="2:18" s="3" customFormat="1">
      <c r="C26" s="4"/>
      <c r="D26" s="4">
        <v>0</v>
      </c>
      <c r="E26" s="4">
        <v>0</v>
      </c>
      <c r="F26" s="4">
        <v>0</v>
      </c>
      <c r="G26" s="3" t="s">
        <v>31</v>
      </c>
      <c r="H26" s="3">
        <f>HLOOKUP(H24,技能!D11:G13,3,FALSE)</f>
        <v>0.3</v>
      </c>
      <c r="J26" s="3">
        <f>HLOOKUP(J24,技能!D11:G13,3,FALSE)</f>
        <v>0</v>
      </c>
    </row>
    <row r="27" spans="2:18" s="3" customFormat="1"/>
    <row r="28" spans="2:18" s="3" customFormat="1"/>
    <row r="29" spans="2:18" s="3" customFormat="1"/>
    <row r="30" spans="2:18" s="3" customFormat="1"/>
    <row r="31" spans="2:18" s="3" customFormat="1"/>
    <row r="32" spans="2:18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</sheetData>
  <phoneticPr fontId="1" type="noConversion"/>
  <dataValidations count="1">
    <dataValidation type="list" allowBlank="1" showInputMessage="1" showErrorMessage="1" sqref="J14 H14">
      <formula1>$O$14:$R$14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controls>
    <control shapeId="1038" r:id="rId3" name="CommandButton4"/>
    <control shapeId="1037" r:id="rId4" name="ScrollBar1"/>
    <control shapeId="1035" r:id="rId5" name="CommandButton3"/>
    <control shapeId="1030" r:id="rId6" name="CommandButton2"/>
    <control shapeId="1026" r:id="rId7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N13"/>
  <sheetViews>
    <sheetView workbookViewId="0">
      <selection activeCell="D10" sqref="D10"/>
    </sheetView>
  </sheetViews>
  <sheetFormatPr defaultRowHeight="13.5"/>
  <cols>
    <col min="9" max="9" width="10.125" customWidth="1"/>
  </cols>
  <sheetData>
    <row r="4" spans="3:14">
      <c r="C4" t="s">
        <v>18</v>
      </c>
      <c r="D4" t="s">
        <v>19</v>
      </c>
      <c r="E4" t="s">
        <v>20</v>
      </c>
      <c r="F4" t="s">
        <v>21</v>
      </c>
      <c r="G4" t="s">
        <v>129</v>
      </c>
      <c r="I4" t="s">
        <v>29</v>
      </c>
      <c r="J4" t="s">
        <v>30</v>
      </c>
      <c r="K4" t="s">
        <v>31</v>
      </c>
    </row>
    <row r="5" spans="3:14">
      <c r="C5" t="s">
        <v>29</v>
      </c>
      <c r="D5" t="s">
        <v>25</v>
      </c>
      <c r="E5" t="s">
        <v>27</v>
      </c>
      <c r="F5" t="s">
        <v>23</v>
      </c>
      <c r="G5" t="s">
        <v>28</v>
      </c>
      <c r="I5" t="s">
        <v>28</v>
      </c>
      <c r="J5" s="2">
        <v>0</v>
      </c>
      <c r="K5" s="2">
        <v>0</v>
      </c>
      <c r="M5" s="2"/>
    </row>
    <row r="6" spans="3:14">
      <c r="C6" t="s">
        <v>29</v>
      </c>
      <c r="D6" t="s">
        <v>28</v>
      </c>
      <c r="E6" t="s">
        <v>28</v>
      </c>
      <c r="F6" t="s">
        <v>28</v>
      </c>
      <c r="I6" t="s">
        <v>25</v>
      </c>
      <c r="J6" s="2">
        <v>1.1000000000000001</v>
      </c>
      <c r="K6" s="2">
        <v>0.3</v>
      </c>
      <c r="M6" s="2"/>
    </row>
    <row r="7" spans="3:14">
      <c r="C7" t="s">
        <v>29</v>
      </c>
      <c r="D7" t="s">
        <v>28</v>
      </c>
      <c r="E7" t="s">
        <v>28</v>
      </c>
      <c r="F7" t="s">
        <v>28</v>
      </c>
      <c r="I7" t="s">
        <v>27</v>
      </c>
      <c r="J7" s="2">
        <v>1.1499999999999999</v>
      </c>
      <c r="K7" s="2">
        <v>0.3</v>
      </c>
    </row>
    <row r="8" spans="3:14">
      <c r="I8" t="s">
        <v>23</v>
      </c>
      <c r="J8" s="2">
        <v>1.2</v>
      </c>
      <c r="K8" s="2">
        <v>0.3</v>
      </c>
    </row>
    <row r="10" spans="3:14">
      <c r="C10" t="s">
        <v>18</v>
      </c>
      <c r="D10" t="s">
        <v>19</v>
      </c>
      <c r="E10" t="s">
        <v>20</v>
      </c>
      <c r="F10" t="s">
        <v>21</v>
      </c>
      <c r="G10" t="s">
        <v>129</v>
      </c>
    </row>
    <row r="11" spans="3:14">
      <c r="C11" t="s">
        <v>29</v>
      </c>
      <c r="D11" t="s">
        <v>24</v>
      </c>
      <c r="E11" t="s">
        <v>26</v>
      </c>
      <c r="F11" t="s">
        <v>22</v>
      </c>
      <c r="G11" t="s">
        <v>28</v>
      </c>
    </row>
    <row r="12" spans="3:14">
      <c r="C12" t="s">
        <v>30</v>
      </c>
      <c r="D12" s="2">
        <f>VLOOKUP(D11,I4:K8,2,FALSE)</f>
        <v>1.1000000000000001</v>
      </c>
      <c r="E12" s="2">
        <f>VLOOKUP(E11,I4:K8,2,FALSE)</f>
        <v>1.1499999999999999</v>
      </c>
      <c r="F12" s="2">
        <f>VLOOKUP(F11,I4:K8,2,FALSE)</f>
        <v>1.2</v>
      </c>
      <c r="G12" s="2">
        <f>VLOOKUP(G11,I4:K8,2,FALSE)</f>
        <v>0</v>
      </c>
      <c r="L12" s="2"/>
      <c r="M12" s="2"/>
      <c r="N12" s="2"/>
    </row>
    <row r="13" spans="3:14">
      <c r="C13" t="s">
        <v>31</v>
      </c>
      <c r="D13" s="2">
        <f>VLOOKUP(D11,I4:K8,3,FALSE)</f>
        <v>0.3</v>
      </c>
      <c r="E13" s="2">
        <f>VLOOKUP(E11,I4:K8,3,FALSE)</f>
        <v>0.3</v>
      </c>
      <c r="F13" s="2">
        <f>VLOOKUP(F11,I4:K8,3,FALSE)</f>
        <v>0.3</v>
      </c>
      <c r="G13" s="2">
        <f>VLOOKUP(G11,I4:K8,3,FALSE)</f>
        <v>0</v>
      </c>
      <c r="L13" s="2"/>
      <c r="M13" s="2"/>
      <c r="N13" s="2"/>
    </row>
  </sheetData>
  <phoneticPr fontId="1" type="noConversion"/>
  <dataValidations count="3">
    <dataValidation type="list" allowBlank="1" showInputMessage="1" showErrorMessage="1" sqref="D11">
      <formula1>$D$5:$D$7</formula1>
    </dataValidation>
    <dataValidation type="list" allowBlank="1" showInputMessage="1" showErrorMessage="1" sqref="E11">
      <formula1>$E$5:$E$7</formula1>
    </dataValidation>
    <dataValidation type="list" allowBlank="1" showInputMessage="1" showErrorMessage="1" sqref="F11">
      <formula1>$F$5:$F$7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K21"/>
  <sheetViews>
    <sheetView workbookViewId="0">
      <selection activeCell="L20" sqref="L20"/>
    </sheetView>
  </sheetViews>
  <sheetFormatPr defaultRowHeight="13.5"/>
  <sheetData>
    <row r="2" spans="1:11">
      <c r="A2" t="s">
        <v>45</v>
      </c>
      <c r="B2" t="s">
        <v>38</v>
      </c>
      <c r="C2" t="s">
        <v>40</v>
      </c>
      <c r="D2" t="s">
        <v>43</v>
      </c>
      <c r="E2" t="s">
        <v>55</v>
      </c>
      <c r="F2" t="s">
        <v>49</v>
      </c>
      <c r="G2" t="s">
        <v>57</v>
      </c>
      <c r="H2" t="s">
        <v>51</v>
      </c>
      <c r="I2" t="s">
        <v>137</v>
      </c>
      <c r="J2" t="s">
        <v>138</v>
      </c>
      <c r="K2" t="s">
        <v>139</v>
      </c>
    </row>
    <row r="3" spans="1:11">
      <c r="A3" t="s">
        <v>46</v>
      </c>
      <c r="B3" t="s">
        <v>52</v>
      </c>
      <c r="C3">
        <v>1</v>
      </c>
      <c r="E3">
        <v>80</v>
      </c>
      <c r="I3">
        <v>20</v>
      </c>
    </row>
    <row r="4" spans="1:11">
      <c r="A4" t="s">
        <v>46</v>
      </c>
      <c r="B4" t="s">
        <v>41</v>
      </c>
      <c r="C4">
        <f>C3</f>
        <v>1</v>
      </c>
      <c r="D4">
        <v>400</v>
      </c>
    </row>
    <row r="5" spans="1:11">
      <c r="A5" t="s">
        <v>46</v>
      </c>
      <c r="B5" t="s">
        <v>42</v>
      </c>
      <c r="C5">
        <f>C3</f>
        <v>1</v>
      </c>
      <c r="F5">
        <v>75</v>
      </c>
    </row>
    <row r="6" spans="1:11">
      <c r="A6" t="s">
        <v>46</v>
      </c>
      <c r="B6" t="s">
        <v>47</v>
      </c>
      <c r="C6">
        <f>C3</f>
        <v>1</v>
      </c>
      <c r="H6">
        <v>50</v>
      </c>
      <c r="J6">
        <v>12</v>
      </c>
    </row>
    <row r="7" spans="1:11">
      <c r="A7" t="s">
        <v>46</v>
      </c>
      <c r="B7" t="s">
        <v>53</v>
      </c>
      <c r="C7">
        <f>C3</f>
        <v>1</v>
      </c>
      <c r="E7">
        <v>10</v>
      </c>
      <c r="K7">
        <v>12</v>
      </c>
    </row>
    <row r="8" spans="1:11">
      <c r="A8" t="s">
        <v>59</v>
      </c>
      <c r="B8" t="s">
        <v>52</v>
      </c>
      <c r="C8">
        <f>C3</f>
        <v>1</v>
      </c>
      <c r="E8">
        <v>90</v>
      </c>
      <c r="I8">
        <v>40</v>
      </c>
    </row>
    <row r="9" spans="1:11">
      <c r="A9" t="s">
        <v>59</v>
      </c>
      <c r="B9" t="s">
        <v>41</v>
      </c>
      <c r="C9">
        <f>C3</f>
        <v>1</v>
      </c>
      <c r="D9">
        <v>350</v>
      </c>
    </row>
    <row r="10" spans="1:11">
      <c r="A10" t="s">
        <v>59</v>
      </c>
      <c r="B10" t="s">
        <v>42</v>
      </c>
      <c r="C10">
        <f>C3</f>
        <v>1</v>
      </c>
      <c r="F10">
        <v>60</v>
      </c>
    </row>
    <row r="11" spans="1:11">
      <c r="A11" t="s">
        <v>59</v>
      </c>
      <c r="B11" t="s">
        <v>47</v>
      </c>
      <c r="C11">
        <f>C3</f>
        <v>1</v>
      </c>
      <c r="H11">
        <v>60</v>
      </c>
      <c r="J11">
        <v>20</v>
      </c>
    </row>
    <row r="12" spans="1:11">
      <c r="A12" t="s">
        <v>59</v>
      </c>
      <c r="B12" t="s">
        <v>53</v>
      </c>
      <c r="C12">
        <f>C3</f>
        <v>1</v>
      </c>
      <c r="E12">
        <v>10</v>
      </c>
      <c r="K12">
        <v>20</v>
      </c>
    </row>
    <row r="13" spans="1:11">
      <c r="A13" t="s">
        <v>60</v>
      </c>
      <c r="B13" t="s">
        <v>52</v>
      </c>
      <c r="C13">
        <f>C3</f>
        <v>1</v>
      </c>
      <c r="G13">
        <v>100</v>
      </c>
      <c r="I13">
        <v>30</v>
      </c>
    </row>
    <row r="14" spans="1:11">
      <c r="A14" t="s">
        <v>60</v>
      </c>
      <c r="B14" t="s">
        <v>41</v>
      </c>
      <c r="C14">
        <f>C3</f>
        <v>1</v>
      </c>
      <c r="D14">
        <v>300</v>
      </c>
    </row>
    <row r="15" spans="1:11">
      <c r="A15" t="s">
        <v>60</v>
      </c>
      <c r="B15" t="s">
        <v>42</v>
      </c>
      <c r="C15">
        <f>C3</f>
        <v>1</v>
      </c>
      <c r="F15">
        <v>45</v>
      </c>
    </row>
    <row r="16" spans="1:11">
      <c r="A16" t="s">
        <v>60</v>
      </c>
      <c r="B16" t="s">
        <v>47</v>
      </c>
      <c r="C16">
        <f>C3</f>
        <v>1</v>
      </c>
      <c r="H16">
        <v>75</v>
      </c>
      <c r="J16">
        <v>16</v>
      </c>
    </row>
    <row r="17" spans="1:11">
      <c r="A17" t="s">
        <v>60</v>
      </c>
      <c r="B17" t="s">
        <v>53</v>
      </c>
      <c r="C17">
        <f>C3</f>
        <v>1</v>
      </c>
      <c r="G17">
        <v>10</v>
      </c>
      <c r="K17">
        <v>16</v>
      </c>
    </row>
    <row r="20" spans="1:11">
      <c r="C20" t="s">
        <v>81</v>
      </c>
    </row>
    <row r="21" spans="1:11">
      <c r="C21">
        <v>10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3074" r:id="rId3" name="CommandButton2"/>
    <control shapeId="3073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V56"/>
  <sheetViews>
    <sheetView topLeftCell="D1" workbookViewId="0">
      <selection activeCell="O10" sqref="O10"/>
    </sheetView>
  </sheetViews>
  <sheetFormatPr defaultRowHeight="13.5"/>
  <sheetData>
    <row r="1" spans="1:22">
      <c r="A1" t="s">
        <v>44</v>
      </c>
      <c r="B1" t="s">
        <v>37</v>
      </c>
      <c r="C1" t="s">
        <v>39</v>
      </c>
      <c r="D1" t="s">
        <v>78</v>
      </c>
      <c r="E1" t="s">
        <v>54</v>
      </c>
      <c r="F1" t="s">
        <v>48</v>
      </c>
      <c r="G1" t="s">
        <v>56</v>
      </c>
      <c r="H1" t="s">
        <v>50</v>
      </c>
      <c r="I1" t="s">
        <v>140</v>
      </c>
      <c r="J1" t="s">
        <v>142</v>
      </c>
      <c r="K1" t="s">
        <v>144</v>
      </c>
    </row>
    <row r="2" spans="1:22">
      <c r="A2" t="s">
        <v>35</v>
      </c>
      <c r="B2" t="s">
        <v>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22">
      <c r="A3" t="s">
        <v>35</v>
      </c>
      <c r="B3" t="s">
        <v>82</v>
      </c>
      <c r="C3">
        <v>1</v>
      </c>
      <c r="D3">
        <v>0</v>
      </c>
      <c r="E3">
        <v>80</v>
      </c>
      <c r="F3">
        <v>0</v>
      </c>
      <c r="G3">
        <v>0</v>
      </c>
      <c r="H3">
        <v>0</v>
      </c>
      <c r="I3">
        <v>20</v>
      </c>
      <c r="J3">
        <v>0</v>
      </c>
      <c r="K3">
        <v>0</v>
      </c>
      <c r="M3" t="s">
        <v>71</v>
      </c>
    </row>
    <row r="4" spans="1:22">
      <c r="A4" t="s">
        <v>35</v>
      </c>
      <c r="B4" t="s">
        <v>87</v>
      </c>
      <c r="C4">
        <v>2</v>
      </c>
      <c r="D4">
        <v>0</v>
      </c>
      <c r="E4">
        <v>160</v>
      </c>
      <c r="F4">
        <v>0</v>
      </c>
      <c r="G4">
        <v>0</v>
      </c>
      <c r="H4">
        <v>0</v>
      </c>
      <c r="I4">
        <v>40</v>
      </c>
      <c r="J4">
        <v>0</v>
      </c>
      <c r="K4">
        <v>0</v>
      </c>
      <c r="N4" t="s">
        <v>45</v>
      </c>
      <c r="O4" t="s">
        <v>52</v>
      </c>
      <c r="P4" t="s">
        <v>41</v>
      </c>
      <c r="Q4" t="s">
        <v>69</v>
      </c>
      <c r="R4" t="s">
        <v>70</v>
      </c>
      <c r="S4" t="s">
        <v>53</v>
      </c>
    </row>
    <row r="5" spans="1:22">
      <c r="A5" t="s">
        <v>35</v>
      </c>
      <c r="B5" t="s">
        <v>88</v>
      </c>
      <c r="C5">
        <v>3</v>
      </c>
      <c r="D5">
        <v>0</v>
      </c>
      <c r="E5">
        <v>240</v>
      </c>
      <c r="F5">
        <v>0</v>
      </c>
      <c r="G5">
        <v>0</v>
      </c>
      <c r="H5">
        <v>0</v>
      </c>
      <c r="I5">
        <v>60</v>
      </c>
      <c r="J5">
        <v>0</v>
      </c>
      <c r="K5">
        <v>0</v>
      </c>
      <c r="N5" t="s">
        <v>35</v>
      </c>
      <c r="O5" t="s">
        <v>149</v>
      </c>
      <c r="P5" t="s">
        <v>150</v>
      </c>
      <c r="Q5" t="s">
        <v>151</v>
      </c>
      <c r="R5" t="s">
        <v>152</v>
      </c>
      <c r="S5" t="s">
        <v>153</v>
      </c>
    </row>
    <row r="6" spans="1:22">
      <c r="A6" t="s">
        <v>35</v>
      </c>
      <c r="B6" t="s">
        <v>89</v>
      </c>
      <c r="C6">
        <v>4</v>
      </c>
      <c r="D6">
        <v>0</v>
      </c>
      <c r="E6">
        <v>320</v>
      </c>
      <c r="F6">
        <v>0</v>
      </c>
      <c r="G6">
        <v>0</v>
      </c>
      <c r="H6">
        <v>0</v>
      </c>
      <c r="I6">
        <v>80</v>
      </c>
      <c r="J6">
        <v>0</v>
      </c>
      <c r="K6">
        <v>0</v>
      </c>
    </row>
    <row r="7" spans="1:22">
      <c r="A7" t="s">
        <v>35</v>
      </c>
      <c r="B7" t="s">
        <v>90</v>
      </c>
      <c r="C7">
        <v>5</v>
      </c>
      <c r="D7">
        <v>0</v>
      </c>
      <c r="E7">
        <v>400</v>
      </c>
      <c r="F7">
        <v>0</v>
      </c>
      <c r="G7">
        <v>0</v>
      </c>
      <c r="H7">
        <v>0</v>
      </c>
      <c r="I7">
        <v>100</v>
      </c>
      <c r="J7">
        <v>0</v>
      </c>
      <c r="K7">
        <v>0</v>
      </c>
    </row>
    <row r="8" spans="1:22">
      <c r="A8" t="s">
        <v>35</v>
      </c>
      <c r="B8" t="s">
        <v>91</v>
      </c>
      <c r="C8">
        <v>6</v>
      </c>
      <c r="D8">
        <v>0</v>
      </c>
      <c r="E8">
        <v>480</v>
      </c>
      <c r="F8">
        <v>0</v>
      </c>
      <c r="G8">
        <v>0</v>
      </c>
      <c r="H8">
        <v>0</v>
      </c>
      <c r="I8">
        <v>120</v>
      </c>
      <c r="J8">
        <v>0</v>
      </c>
      <c r="K8">
        <v>0</v>
      </c>
      <c r="M8" t="s">
        <v>72</v>
      </c>
    </row>
    <row r="9" spans="1:22">
      <c r="A9" t="s">
        <v>35</v>
      </c>
      <c r="B9" t="s">
        <v>92</v>
      </c>
      <c r="C9">
        <v>7</v>
      </c>
      <c r="D9">
        <v>0</v>
      </c>
      <c r="E9">
        <v>560</v>
      </c>
      <c r="F9">
        <v>0</v>
      </c>
      <c r="G9">
        <v>0</v>
      </c>
      <c r="H9">
        <v>0</v>
      </c>
      <c r="I9">
        <v>140</v>
      </c>
      <c r="J9">
        <v>0</v>
      </c>
      <c r="K9">
        <v>0</v>
      </c>
      <c r="N9" t="s">
        <v>75</v>
      </c>
      <c r="O9" t="s">
        <v>79</v>
      </c>
      <c r="P9" t="s">
        <v>55</v>
      </c>
      <c r="Q9" t="s">
        <v>49</v>
      </c>
      <c r="R9" t="s">
        <v>74</v>
      </c>
      <c r="S9" t="s">
        <v>73</v>
      </c>
      <c r="T9" t="s">
        <v>140</v>
      </c>
      <c r="U9" t="s">
        <v>142</v>
      </c>
      <c r="V9" t="s">
        <v>144</v>
      </c>
    </row>
    <row r="10" spans="1:22">
      <c r="A10" t="s">
        <v>35</v>
      </c>
      <c r="B10" t="s">
        <v>93</v>
      </c>
      <c r="C10">
        <v>8</v>
      </c>
      <c r="D10">
        <v>0</v>
      </c>
      <c r="E10">
        <v>640</v>
      </c>
      <c r="F10">
        <v>0</v>
      </c>
      <c r="G10">
        <v>0</v>
      </c>
      <c r="H10">
        <v>0</v>
      </c>
      <c r="I10">
        <v>160</v>
      </c>
      <c r="J10">
        <v>0</v>
      </c>
      <c r="K10">
        <v>0</v>
      </c>
      <c r="N10" t="s">
        <v>52</v>
      </c>
      <c r="O10">
        <f>VLOOKUP(O5,战士!B1:K56,3,FALSE)</f>
        <v>0</v>
      </c>
      <c r="P10">
        <f>VLOOKUP(O5,战士!B1:K56,4,FALSE)</f>
        <v>800</v>
      </c>
      <c r="Q10">
        <f>VLOOKUP(O5,战士!B1:K56,5,FALSE)</f>
        <v>0</v>
      </c>
      <c r="R10">
        <f>VLOOKUP(O5,战士!B1:K56,6,FALSE)</f>
        <v>0</v>
      </c>
      <c r="S10">
        <f>VLOOKUP(O5,战士!B1:K56,7,FALSE)</f>
        <v>0</v>
      </c>
      <c r="T10">
        <f>VLOOKUP(O5,战士!B1:K56,8,FALSE)</f>
        <v>200</v>
      </c>
      <c r="U10">
        <f>VLOOKUP(O5,战士!B1:K56,9,FALSE)</f>
        <v>0</v>
      </c>
      <c r="V10">
        <f>VLOOKUP(O5,战士!B1:K56,10,FALSE)</f>
        <v>0</v>
      </c>
    </row>
    <row r="11" spans="1:22">
      <c r="A11" t="s">
        <v>35</v>
      </c>
      <c r="B11" t="s">
        <v>94</v>
      </c>
      <c r="C11">
        <v>9</v>
      </c>
      <c r="D11">
        <v>0</v>
      </c>
      <c r="E11">
        <v>720</v>
      </c>
      <c r="F11">
        <v>0</v>
      </c>
      <c r="G11">
        <v>0</v>
      </c>
      <c r="H11">
        <v>0</v>
      </c>
      <c r="I11">
        <v>180</v>
      </c>
      <c r="J11">
        <v>0</v>
      </c>
      <c r="K11">
        <v>0</v>
      </c>
      <c r="N11" t="s">
        <v>41</v>
      </c>
      <c r="O11">
        <f>VLOOKUP(P5,战士!B1:K56,3,FALSE)</f>
        <v>4000</v>
      </c>
      <c r="P11">
        <f>VLOOKUP(P5,战士!B1:K56,4,FALSE)</f>
        <v>0</v>
      </c>
      <c r="Q11">
        <f>VLOOKUP(P5,战士!B1:K56,5,FALSE)</f>
        <v>0</v>
      </c>
      <c r="R11">
        <f>VLOOKUP(P5,战士!B1:K56,6,FALSE)</f>
        <v>0</v>
      </c>
      <c r="S11">
        <f>VLOOKUP(P5,战士!B1:K56,7,FALSE)</f>
        <v>0</v>
      </c>
      <c r="T11">
        <f>VLOOKUP(P5,战士!B1:K56,8,FALSE)</f>
        <v>0</v>
      </c>
      <c r="U11">
        <f>VLOOKUP(P5,战士!B1:K56,9,FALSE)</f>
        <v>0</v>
      </c>
      <c r="V11">
        <f>VLOOKUP(P5,战士!B1:K56,10,FALSE)</f>
        <v>0</v>
      </c>
    </row>
    <row r="12" spans="1:22">
      <c r="A12" t="s">
        <v>35</v>
      </c>
      <c r="B12" t="s">
        <v>61</v>
      </c>
      <c r="C12">
        <v>10</v>
      </c>
      <c r="D12">
        <v>0</v>
      </c>
      <c r="E12">
        <v>800</v>
      </c>
      <c r="F12">
        <v>0</v>
      </c>
      <c r="G12">
        <v>0</v>
      </c>
      <c r="H12">
        <v>0</v>
      </c>
      <c r="I12">
        <v>200</v>
      </c>
      <c r="J12">
        <v>0</v>
      </c>
      <c r="K12">
        <v>0</v>
      </c>
      <c r="N12" t="s">
        <v>69</v>
      </c>
      <c r="O12">
        <f>VLOOKUP(Q5,战士!B1:K56,3,FALSE)</f>
        <v>0</v>
      </c>
      <c r="P12">
        <f>VLOOKUP(Q5,战士!B1:K56,4,FALSE)</f>
        <v>0</v>
      </c>
      <c r="Q12">
        <f>VLOOKUP(Q5,战士!B1:K56,5,FALSE)</f>
        <v>750</v>
      </c>
      <c r="R12">
        <f>VLOOKUP(Q5,战士!B1:K56,6,FALSE)</f>
        <v>0</v>
      </c>
      <c r="S12">
        <f>VLOOKUP(Q5,战士!B1:K56,7,FALSE)</f>
        <v>0</v>
      </c>
      <c r="T12">
        <f>VLOOKUP(Q5,战士!B1:K56,8,FALSE)</f>
        <v>0</v>
      </c>
      <c r="U12">
        <f>VLOOKUP(Q5,战士!B1:K56,9,FALSE)</f>
        <v>0</v>
      </c>
      <c r="V12">
        <f>VLOOKUP(Q5,战士!B1:K56,10,FALSE)</f>
        <v>0</v>
      </c>
    </row>
    <row r="13" spans="1:22">
      <c r="A13" t="s">
        <v>35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N13" t="s">
        <v>70</v>
      </c>
      <c r="O13">
        <f>VLOOKUP(R5,战士!B1:K56,3,FALSE)</f>
        <v>0</v>
      </c>
      <c r="P13">
        <f>VLOOKUP(R5,战士!B1:K56,4,FALSE)</f>
        <v>0</v>
      </c>
      <c r="Q13">
        <f>VLOOKUP(R5,战士!B1:K56,5,FALSE)</f>
        <v>0</v>
      </c>
      <c r="R13">
        <f>VLOOKUP(R5,战士!B1:K56,6,FALSE)</f>
        <v>0</v>
      </c>
      <c r="S13">
        <f>VLOOKUP(R5,战士!B1:K56,7,FALSE)</f>
        <v>500</v>
      </c>
      <c r="T13">
        <f>VLOOKUP(R5,战士!B1:K56,8,FALSE)</f>
        <v>0</v>
      </c>
      <c r="U13">
        <f>VLOOKUP(R5,战士!B1:K56,9,FALSE)</f>
        <v>120</v>
      </c>
      <c r="V13">
        <f>VLOOKUP(R5,战士!B1:K56,10,FALSE)</f>
        <v>0</v>
      </c>
    </row>
    <row r="14" spans="1:22">
      <c r="A14" t="s">
        <v>35</v>
      </c>
      <c r="B14" t="s">
        <v>83</v>
      </c>
      <c r="C14">
        <v>1</v>
      </c>
      <c r="D14">
        <v>400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N14" t="s">
        <v>53</v>
      </c>
      <c r="O14">
        <f>VLOOKUP(S5,战士!B1:K56,3,FALSE)</f>
        <v>0</v>
      </c>
      <c r="P14">
        <f>VLOOKUP(S5,战士!B1:K56,4,FALSE)</f>
        <v>100</v>
      </c>
      <c r="Q14">
        <f>VLOOKUP(S5,战士!B1:K56,5,FALSE)</f>
        <v>0</v>
      </c>
      <c r="R14">
        <f>VLOOKUP(S5,战士!B1:K56,6,FALSE)</f>
        <v>0</v>
      </c>
      <c r="S14">
        <f>VLOOKUP(S5,战士!B1:K56,7,FALSE)</f>
        <v>0</v>
      </c>
      <c r="T14">
        <f>VLOOKUP(S5,战士!B1:K56,8,FALSE)</f>
        <v>0</v>
      </c>
      <c r="U14">
        <f>VLOOKUP(S5,战士!B1:K56,9,FALSE)</f>
        <v>0</v>
      </c>
      <c r="V14">
        <f>VLOOKUP(S5,战士!B1:K56,10,FALSE)</f>
        <v>120</v>
      </c>
    </row>
    <row r="15" spans="1:22">
      <c r="A15" t="s">
        <v>35</v>
      </c>
      <c r="B15" t="s">
        <v>95</v>
      </c>
      <c r="C15">
        <v>2</v>
      </c>
      <c r="D15">
        <v>800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22">
      <c r="A16" t="s">
        <v>35</v>
      </c>
      <c r="B16" t="s">
        <v>96</v>
      </c>
      <c r="C16">
        <v>3</v>
      </c>
      <c r="D16">
        <v>1200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>
      <c r="A17" t="s">
        <v>35</v>
      </c>
      <c r="B17" t="s">
        <v>97</v>
      </c>
      <c r="C17">
        <v>4</v>
      </c>
      <c r="D17">
        <v>1600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35</v>
      </c>
      <c r="B18" t="s">
        <v>98</v>
      </c>
      <c r="C18">
        <v>5</v>
      </c>
      <c r="D18">
        <v>2000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>
      <c r="A19" t="s">
        <v>35</v>
      </c>
      <c r="B19" t="s">
        <v>99</v>
      </c>
      <c r="C19">
        <v>6</v>
      </c>
      <c r="D19">
        <v>2400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>
      <c r="A20" t="s">
        <v>35</v>
      </c>
      <c r="B20" t="s">
        <v>100</v>
      </c>
      <c r="C20">
        <v>7</v>
      </c>
      <c r="D20">
        <v>2800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>
      <c r="A21" t="s">
        <v>35</v>
      </c>
      <c r="B21" t="s">
        <v>101</v>
      </c>
      <c r="C21">
        <v>8</v>
      </c>
      <c r="D21">
        <v>3200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>
      <c r="A22" t="s">
        <v>35</v>
      </c>
      <c r="B22" t="s">
        <v>102</v>
      </c>
      <c r="C22">
        <v>9</v>
      </c>
      <c r="D22">
        <v>3600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35</v>
      </c>
      <c r="B23" t="s">
        <v>62</v>
      </c>
      <c r="C23">
        <v>10</v>
      </c>
      <c r="D23">
        <v>4000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>
      <c r="A24" t="s">
        <v>35</v>
      </c>
      <c r="B24" t="s">
        <v>76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35</v>
      </c>
      <c r="B25" t="s">
        <v>84</v>
      </c>
      <c r="C25">
        <v>1</v>
      </c>
      <c r="D25">
        <v>0</v>
      </c>
      <c r="E25">
        <v>0</v>
      </c>
      <c r="F25">
        <v>75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>
      <c r="A26" t="s">
        <v>35</v>
      </c>
      <c r="B26" t="s">
        <v>103</v>
      </c>
      <c r="C26">
        <v>2</v>
      </c>
      <c r="D26">
        <v>0</v>
      </c>
      <c r="E26">
        <v>0</v>
      </c>
      <c r="F26">
        <v>150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>
      <c r="A27" t="s">
        <v>35</v>
      </c>
      <c r="B27" t="s">
        <v>104</v>
      </c>
      <c r="C27">
        <v>3</v>
      </c>
      <c r="D27">
        <v>0</v>
      </c>
      <c r="E27">
        <v>0</v>
      </c>
      <c r="F27">
        <v>225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>
      <c r="A28" t="s">
        <v>35</v>
      </c>
      <c r="B28" t="s">
        <v>105</v>
      </c>
      <c r="C28">
        <v>4</v>
      </c>
      <c r="D28">
        <v>0</v>
      </c>
      <c r="E28">
        <v>0</v>
      </c>
      <c r="F28">
        <v>300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>
      <c r="A29" t="s">
        <v>35</v>
      </c>
      <c r="B29" t="s">
        <v>106</v>
      </c>
      <c r="C29">
        <v>5</v>
      </c>
      <c r="D29">
        <v>0</v>
      </c>
      <c r="E29">
        <v>0</v>
      </c>
      <c r="F29">
        <v>375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>
      <c r="A30" t="s">
        <v>35</v>
      </c>
      <c r="B30" t="s">
        <v>107</v>
      </c>
      <c r="C30">
        <v>6</v>
      </c>
      <c r="D30">
        <v>0</v>
      </c>
      <c r="E30">
        <v>0</v>
      </c>
      <c r="F30">
        <v>450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>
      <c r="A31" t="s">
        <v>35</v>
      </c>
      <c r="B31" t="s">
        <v>108</v>
      </c>
      <c r="C31">
        <v>7</v>
      </c>
      <c r="D31">
        <v>0</v>
      </c>
      <c r="E31">
        <v>0</v>
      </c>
      <c r="F31">
        <v>525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>
      <c r="A32" t="s">
        <v>35</v>
      </c>
      <c r="B32" t="s">
        <v>109</v>
      </c>
      <c r="C32">
        <v>8</v>
      </c>
      <c r="D32">
        <v>0</v>
      </c>
      <c r="E32">
        <v>0</v>
      </c>
      <c r="F32">
        <v>600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 t="s">
        <v>35</v>
      </c>
      <c r="B33" t="s">
        <v>110</v>
      </c>
      <c r="C33">
        <v>9</v>
      </c>
      <c r="D33">
        <v>0</v>
      </c>
      <c r="E33">
        <v>0</v>
      </c>
      <c r="F33">
        <v>675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 t="s">
        <v>35</v>
      </c>
      <c r="B34" t="s">
        <v>63</v>
      </c>
      <c r="C34">
        <v>10</v>
      </c>
      <c r="D34">
        <v>0</v>
      </c>
      <c r="E34">
        <v>0</v>
      </c>
      <c r="F34">
        <v>750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 t="s">
        <v>35</v>
      </c>
      <c r="B35" t="s">
        <v>76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 t="s">
        <v>35</v>
      </c>
      <c r="B36" t="s">
        <v>85</v>
      </c>
      <c r="C36">
        <v>1</v>
      </c>
      <c r="D36">
        <v>0</v>
      </c>
      <c r="E36">
        <v>0</v>
      </c>
      <c r="F36">
        <v>0</v>
      </c>
      <c r="G36">
        <v>0</v>
      </c>
      <c r="H36">
        <v>50</v>
      </c>
      <c r="I36">
        <v>0</v>
      </c>
      <c r="J36">
        <v>12</v>
      </c>
      <c r="K36">
        <v>0</v>
      </c>
    </row>
    <row r="37" spans="1:11">
      <c r="A37" t="s">
        <v>35</v>
      </c>
      <c r="B37" t="s">
        <v>111</v>
      </c>
      <c r="C37">
        <v>2</v>
      </c>
      <c r="D37">
        <v>0</v>
      </c>
      <c r="E37">
        <v>0</v>
      </c>
      <c r="F37">
        <v>0</v>
      </c>
      <c r="G37">
        <v>0</v>
      </c>
      <c r="H37">
        <v>100</v>
      </c>
      <c r="I37">
        <v>0</v>
      </c>
      <c r="J37">
        <v>24</v>
      </c>
      <c r="K37">
        <v>0</v>
      </c>
    </row>
    <row r="38" spans="1:11">
      <c r="A38" t="s">
        <v>35</v>
      </c>
      <c r="B38" t="s">
        <v>112</v>
      </c>
      <c r="C38">
        <v>3</v>
      </c>
      <c r="D38">
        <v>0</v>
      </c>
      <c r="E38">
        <v>0</v>
      </c>
      <c r="F38">
        <v>0</v>
      </c>
      <c r="G38">
        <v>0</v>
      </c>
      <c r="H38">
        <v>150</v>
      </c>
      <c r="I38">
        <v>0</v>
      </c>
      <c r="J38">
        <v>36</v>
      </c>
      <c r="K38">
        <v>0</v>
      </c>
    </row>
    <row r="39" spans="1:11">
      <c r="A39" t="s">
        <v>35</v>
      </c>
      <c r="B39" t="s">
        <v>113</v>
      </c>
      <c r="C39">
        <v>4</v>
      </c>
      <c r="D39">
        <v>0</v>
      </c>
      <c r="E39">
        <v>0</v>
      </c>
      <c r="F39">
        <v>0</v>
      </c>
      <c r="G39">
        <v>0</v>
      </c>
      <c r="H39">
        <v>200</v>
      </c>
      <c r="I39">
        <v>0</v>
      </c>
      <c r="J39">
        <v>48</v>
      </c>
      <c r="K39">
        <v>0</v>
      </c>
    </row>
    <row r="40" spans="1:11">
      <c r="A40" t="s">
        <v>35</v>
      </c>
      <c r="B40" t="s">
        <v>114</v>
      </c>
      <c r="C40">
        <v>5</v>
      </c>
      <c r="D40">
        <v>0</v>
      </c>
      <c r="E40">
        <v>0</v>
      </c>
      <c r="F40">
        <v>0</v>
      </c>
      <c r="G40">
        <v>0</v>
      </c>
      <c r="H40">
        <v>250</v>
      </c>
      <c r="I40">
        <v>0</v>
      </c>
      <c r="J40">
        <v>60</v>
      </c>
      <c r="K40">
        <v>0</v>
      </c>
    </row>
    <row r="41" spans="1:11">
      <c r="A41" t="s">
        <v>35</v>
      </c>
      <c r="B41" t="s">
        <v>115</v>
      </c>
      <c r="C41">
        <v>6</v>
      </c>
      <c r="D41">
        <v>0</v>
      </c>
      <c r="E41">
        <v>0</v>
      </c>
      <c r="F41">
        <v>0</v>
      </c>
      <c r="G41">
        <v>0</v>
      </c>
      <c r="H41">
        <v>300</v>
      </c>
      <c r="I41">
        <v>0</v>
      </c>
      <c r="J41">
        <v>72</v>
      </c>
      <c r="K41">
        <v>0</v>
      </c>
    </row>
    <row r="42" spans="1:11">
      <c r="A42" t="s">
        <v>35</v>
      </c>
      <c r="B42" t="s">
        <v>116</v>
      </c>
      <c r="C42">
        <v>7</v>
      </c>
      <c r="D42">
        <v>0</v>
      </c>
      <c r="E42">
        <v>0</v>
      </c>
      <c r="F42">
        <v>0</v>
      </c>
      <c r="G42">
        <v>0</v>
      </c>
      <c r="H42">
        <v>350</v>
      </c>
      <c r="I42">
        <v>0</v>
      </c>
      <c r="J42">
        <v>84</v>
      </c>
      <c r="K42">
        <v>0</v>
      </c>
    </row>
    <row r="43" spans="1:11">
      <c r="A43" t="s">
        <v>35</v>
      </c>
      <c r="B43" t="s">
        <v>117</v>
      </c>
      <c r="C43">
        <v>8</v>
      </c>
      <c r="D43">
        <v>0</v>
      </c>
      <c r="E43">
        <v>0</v>
      </c>
      <c r="F43">
        <v>0</v>
      </c>
      <c r="G43">
        <v>0</v>
      </c>
      <c r="H43">
        <v>400</v>
      </c>
      <c r="I43">
        <v>0</v>
      </c>
      <c r="J43">
        <v>96</v>
      </c>
      <c r="K43">
        <v>0</v>
      </c>
    </row>
    <row r="44" spans="1:11">
      <c r="A44" t="s">
        <v>35</v>
      </c>
      <c r="B44" t="s">
        <v>118</v>
      </c>
      <c r="C44">
        <v>9</v>
      </c>
      <c r="D44">
        <v>0</v>
      </c>
      <c r="E44">
        <v>0</v>
      </c>
      <c r="F44">
        <v>0</v>
      </c>
      <c r="G44">
        <v>0</v>
      </c>
      <c r="H44">
        <v>450</v>
      </c>
      <c r="I44">
        <v>0</v>
      </c>
      <c r="J44">
        <v>108</v>
      </c>
      <c r="K44">
        <v>0</v>
      </c>
    </row>
    <row r="45" spans="1:11">
      <c r="A45" t="s">
        <v>35</v>
      </c>
      <c r="B45" t="s">
        <v>64</v>
      </c>
      <c r="C45">
        <v>10</v>
      </c>
      <c r="D45">
        <v>0</v>
      </c>
      <c r="E45">
        <v>0</v>
      </c>
      <c r="F45">
        <v>0</v>
      </c>
      <c r="G45">
        <v>0</v>
      </c>
      <c r="H45">
        <v>500</v>
      </c>
      <c r="I45">
        <v>0</v>
      </c>
      <c r="J45">
        <v>120</v>
      </c>
      <c r="K45">
        <v>0</v>
      </c>
    </row>
    <row r="46" spans="1:11">
      <c r="A46" t="s">
        <v>35</v>
      </c>
      <c r="B46" t="s">
        <v>76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>
      <c r="A47" t="s">
        <v>35</v>
      </c>
      <c r="B47" t="s">
        <v>86</v>
      </c>
      <c r="C47">
        <v>1</v>
      </c>
      <c r="D47">
        <v>0</v>
      </c>
      <c r="E47">
        <v>10</v>
      </c>
      <c r="F47">
        <v>0</v>
      </c>
      <c r="G47">
        <v>0</v>
      </c>
      <c r="H47">
        <v>0</v>
      </c>
      <c r="I47">
        <v>0</v>
      </c>
      <c r="J47">
        <v>0</v>
      </c>
      <c r="K47">
        <v>12</v>
      </c>
    </row>
    <row r="48" spans="1:11">
      <c r="A48" t="s">
        <v>35</v>
      </c>
      <c r="B48" t="s">
        <v>119</v>
      </c>
      <c r="C48">
        <v>2</v>
      </c>
      <c r="D48">
        <v>0</v>
      </c>
      <c r="E48">
        <v>20</v>
      </c>
      <c r="F48">
        <v>0</v>
      </c>
      <c r="G48">
        <v>0</v>
      </c>
      <c r="H48">
        <v>0</v>
      </c>
      <c r="I48">
        <v>0</v>
      </c>
      <c r="J48">
        <v>0</v>
      </c>
      <c r="K48">
        <v>24</v>
      </c>
    </row>
    <row r="49" spans="1:11">
      <c r="A49" t="s">
        <v>35</v>
      </c>
      <c r="B49" t="s">
        <v>120</v>
      </c>
      <c r="C49">
        <v>3</v>
      </c>
      <c r="D49">
        <v>0</v>
      </c>
      <c r="E49">
        <v>30</v>
      </c>
      <c r="F49">
        <v>0</v>
      </c>
      <c r="G49">
        <v>0</v>
      </c>
      <c r="H49">
        <v>0</v>
      </c>
      <c r="I49">
        <v>0</v>
      </c>
      <c r="J49">
        <v>0</v>
      </c>
      <c r="K49">
        <v>36</v>
      </c>
    </row>
    <row r="50" spans="1:11">
      <c r="A50" t="s">
        <v>35</v>
      </c>
      <c r="B50" t="s">
        <v>121</v>
      </c>
      <c r="C50">
        <v>4</v>
      </c>
      <c r="D50">
        <v>0</v>
      </c>
      <c r="E50">
        <v>40</v>
      </c>
      <c r="F50">
        <v>0</v>
      </c>
      <c r="G50">
        <v>0</v>
      </c>
      <c r="H50">
        <v>0</v>
      </c>
      <c r="I50">
        <v>0</v>
      </c>
      <c r="J50">
        <v>0</v>
      </c>
      <c r="K50">
        <v>48</v>
      </c>
    </row>
    <row r="51" spans="1:11">
      <c r="A51" t="s">
        <v>35</v>
      </c>
      <c r="B51" t="s">
        <v>122</v>
      </c>
      <c r="C51">
        <v>5</v>
      </c>
      <c r="D51">
        <v>0</v>
      </c>
      <c r="E51">
        <v>50</v>
      </c>
      <c r="F51">
        <v>0</v>
      </c>
      <c r="G51">
        <v>0</v>
      </c>
      <c r="H51">
        <v>0</v>
      </c>
      <c r="I51">
        <v>0</v>
      </c>
      <c r="J51">
        <v>0</v>
      </c>
      <c r="K51">
        <v>60</v>
      </c>
    </row>
    <row r="52" spans="1:11">
      <c r="A52" t="s">
        <v>35</v>
      </c>
      <c r="B52" t="s">
        <v>123</v>
      </c>
      <c r="C52">
        <v>6</v>
      </c>
      <c r="D52">
        <v>0</v>
      </c>
      <c r="E52">
        <v>60</v>
      </c>
      <c r="F52">
        <v>0</v>
      </c>
      <c r="G52">
        <v>0</v>
      </c>
      <c r="H52">
        <v>0</v>
      </c>
      <c r="I52">
        <v>0</v>
      </c>
      <c r="J52">
        <v>0</v>
      </c>
      <c r="K52">
        <v>72</v>
      </c>
    </row>
    <row r="53" spans="1:11">
      <c r="A53" t="s">
        <v>35</v>
      </c>
      <c r="B53" t="s">
        <v>124</v>
      </c>
      <c r="C53">
        <v>7</v>
      </c>
      <c r="D53">
        <v>0</v>
      </c>
      <c r="E53">
        <v>70</v>
      </c>
      <c r="F53">
        <v>0</v>
      </c>
      <c r="G53">
        <v>0</v>
      </c>
      <c r="H53">
        <v>0</v>
      </c>
      <c r="I53">
        <v>0</v>
      </c>
      <c r="J53">
        <v>0</v>
      </c>
      <c r="K53">
        <v>84</v>
      </c>
    </row>
    <row r="54" spans="1:11">
      <c r="A54" t="s">
        <v>35</v>
      </c>
      <c r="B54" t="s">
        <v>125</v>
      </c>
      <c r="C54">
        <v>8</v>
      </c>
      <c r="D54">
        <v>0</v>
      </c>
      <c r="E54">
        <v>80</v>
      </c>
      <c r="F54">
        <v>0</v>
      </c>
      <c r="G54">
        <v>0</v>
      </c>
      <c r="H54">
        <v>0</v>
      </c>
      <c r="I54">
        <v>0</v>
      </c>
      <c r="J54">
        <v>0</v>
      </c>
      <c r="K54">
        <v>96</v>
      </c>
    </row>
    <row r="55" spans="1:11">
      <c r="A55" t="s">
        <v>35</v>
      </c>
      <c r="B55" t="s">
        <v>126</v>
      </c>
      <c r="C55">
        <v>9</v>
      </c>
      <c r="D55">
        <v>0</v>
      </c>
      <c r="E55">
        <v>90</v>
      </c>
      <c r="F55">
        <v>0</v>
      </c>
      <c r="G55">
        <v>0</v>
      </c>
      <c r="H55">
        <v>0</v>
      </c>
      <c r="I55">
        <v>0</v>
      </c>
      <c r="J55">
        <v>0</v>
      </c>
      <c r="K55">
        <v>108</v>
      </c>
    </row>
    <row r="56" spans="1:11">
      <c r="A56" t="s">
        <v>35</v>
      </c>
      <c r="B56" t="s">
        <v>65</v>
      </c>
      <c r="C56">
        <v>10</v>
      </c>
      <c r="D56">
        <v>0</v>
      </c>
      <c r="E56">
        <v>100</v>
      </c>
      <c r="F56">
        <v>0</v>
      </c>
      <c r="G56">
        <v>0</v>
      </c>
      <c r="H56">
        <v>0</v>
      </c>
      <c r="I56">
        <v>0</v>
      </c>
      <c r="J56">
        <v>0</v>
      </c>
      <c r="K56">
        <v>120</v>
      </c>
    </row>
  </sheetData>
  <phoneticPr fontId="1" type="noConversion"/>
  <dataValidations count="5">
    <dataValidation type="list" allowBlank="1" showInputMessage="1" showErrorMessage="1" sqref="L5 O5">
      <formula1>$B$2:$B$12</formula1>
    </dataValidation>
    <dataValidation type="list" allowBlank="1" showInputMessage="1" showErrorMessage="1" sqref="P5">
      <formula1>$B$13:$B$23</formula1>
    </dataValidation>
    <dataValidation type="list" allowBlank="1" showInputMessage="1" showErrorMessage="1" sqref="Q5">
      <formula1>$B$24:$B$34</formula1>
    </dataValidation>
    <dataValidation type="list" allowBlank="1" showInputMessage="1" showErrorMessage="1" sqref="R5">
      <formula1>$B$35:$B$45</formula1>
    </dataValidation>
    <dataValidation type="list" allowBlank="1" showInputMessage="1" showErrorMessage="1" sqref="S5">
      <formula1>$B$46:$B$56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V56"/>
  <sheetViews>
    <sheetView topLeftCell="D1" workbookViewId="0">
      <selection activeCell="M3" sqref="M3:V14"/>
    </sheetView>
  </sheetViews>
  <sheetFormatPr defaultRowHeight="13.5"/>
  <sheetData>
    <row r="1" spans="1:22">
      <c r="A1" t="s">
        <v>44</v>
      </c>
      <c r="B1" t="s">
        <v>37</v>
      </c>
      <c r="C1" t="s">
        <v>39</v>
      </c>
      <c r="D1" t="s">
        <v>78</v>
      </c>
      <c r="E1" t="s">
        <v>54</v>
      </c>
      <c r="F1" t="s">
        <v>48</v>
      </c>
      <c r="G1" t="s">
        <v>56</v>
      </c>
      <c r="H1" t="s">
        <v>50</v>
      </c>
      <c r="I1" t="s">
        <v>140</v>
      </c>
      <c r="J1" t="s">
        <v>142</v>
      </c>
      <c r="K1" t="s">
        <v>144</v>
      </c>
    </row>
    <row r="2" spans="1:22">
      <c r="A2" t="s">
        <v>58</v>
      </c>
      <c r="B2" t="s">
        <v>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22">
      <c r="A3" t="s">
        <v>58</v>
      </c>
      <c r="B3" t="s">
        <v>82</v>
      </c>
      <c r="C3">
        <v>1</v>
      </c>
      <c r="D3">
        <v>0</v>
      </c>
      <c r="E3">
        <v>90</v>
      </c>
      <c r="F3">
        <v>0</v>
      </c>
      <c r="G3">
        <v>0</v>
      </c>
      <c r="H3">
        <v>0</v>
      </c>
      <c r="I3">
        <v>40</v>
      </c>
      <c r="J3">
        <v>0</v>
      </c>
      <c r="K3">
        <v>0</v>
      </c>
      <c r="M3" t="s">
        <v>71</v>
      </c>
    </row>
    <row r="4" spans="1:22">
      <c r="A4" t="s">
        <v>58</v>
      </c>
      <c r="B4" t="s">
        <v>87</v>
      </c>
      <c r="C4">
        <v>2</v>
      </c>
      <c r="D4">
        <v>0</v>
      </c>
      <c r="E4">
        <v>180</v>
      </c>
      <c r="F4">
        <v>0</v>
      </c>
      <c r="G4">
        <v>0</v>
      </c>
      <c r="H4">
        <v>0</v>
      </c>
      <c r="I4">
        <v>80</v>
      </c>
      <c r="J4">
        <v>0</v>
      </c>
      <c r="K4">
        <v>0</v>
      </c>
      <c r="N4" t="s">
        <v>45</v>
      </c>
      <c r="O4" t="s">
        <v>52</v>
      </c>
      <c r="P4" t="s">
        <v>41</v>
      </c>
      <c r="Q4" t="s">
        <v>69</v>
      </c>
      <c r="R4" t="s">
        <v>70</v>
      </c>
      <c r="S4" t="s">
        <v>53</v>
      </c>
    </row>
    <row r="5" spans="1:22">
      <c r="A5" t="s">
        <v>58</v>
      </c>
      <c r="B5" t="s">
        <v>88</v>
      </c>
      <c r="C5">
        <v>3</v>
      </c>
      <c r="D5">
        <v>0</v>
      </c>
      <c r="E5">
        <v>270</v>
      </c>
      <c r="F5">
        <v>0</v>
      </c>
      <c r="G5">
        <v>0</v>
      </c>
      <c r="H5">
        <v>0</v>
      </c>
      <c r="I5">
        <v>120</v>
      </c>
      <c r="J5">
        <v>0</v>
      </c>
      <c r="K5">
        <v>0</v>
      </c>
      <c r="L5" t="s">
        <v>148</v>
      </c>
      <c r="M5" t="s">
        <v>146</v>
      </c>
      <c r="N5" t="s">
        <v>147</v>
      </c>
      <c r="O5" t="s">
        <v>154</v>
      </c>
      <c r="P5" t="s">
        <v>150</v>
      </c>
      <c r="Q5" t="s">
        <v>151</v>
      </c>
      <c r="R5" t="s">
        <v>152</v>
      </c>
      <c r="S5" t="s">
        <v>153</v>
      </c>
    </row>
    <row r="6" spans="1:22">
      <c r="A6" t="s">
        <v>58</v>
      </c>
      <c r="B6" t="s">
        <v>89</v>
      </c>
      <c r="C6">
        <v>4</v>
      </c>
      <c r="D6">
        <v>0</v>
      </c>
      <c r="E6">
        <v>360</v>
      </c>
      <c r="F6">
        <v>0</v>
      </c>
      <c r="G6">
        <v>0</v>
      </c>
      <c r="H6">
        <v>0</v>
      </c>
      <c r="I6">
        <v>160</v>
      </c>
      <c r="J6">
        <v>0</v>
      </c>
      <c r="K6">
        <v>0</v>
      </c>
    </row>
    <row r="7" spans="1:22">
      <c r="A7" t="s">
        <v>58</v>
      </c>
      <c r="B7" t="s">
        <v>90</v>
      </c>
      <c r="C7">
        <v>5</v>
      </c>
      <c r="D7">
        <v>0</v>
      </c>
      <c r="E7">
        <v>450</v>
      </c>
      <c r="F7">
        <v>0</v>
      </c>
      <c r="G7">
        <v>0</v>
      </c>
      <c r="H7">
        <v>0</v>
      </c>
      <c r="I7">
        <v>200</v>
      </c>
      <c r="J7">
        <v>0</v>
      </c>
      <c r="K7">
        <v>0</v>
      </c>
    </row>
    <row r="8" spans="1:22">
      <c r="A8" t="s">
        <v>58</v>
      </c>
      <c r="B8" t="s">
        <v>91</v>
      </c>
      <c r="C8">
        <v>6</v>
      </c>
      <c r="D8">
        <v>0</v>
      </c>
      <c r="E8">
        <v>540</v>
      </c>
      <c r="F8">
        <v>0</v>
      </c>
      <c r="G8">
        <v>0</v>
      </c>
      <c r="H8">
        <v>0</v>
      </c>
      <c r="I8">
        <v>240</v>
      </c>
      <c r="J8">
        <v>0</v>
      </c>
      <c r="K8">
        <v>0</v>
      </c>
      <c r="M8" t="s">
        <v>72</v>
      </c>
    </row>
    <row r="9" spans="1:22">
      <c r="A9" t="s">
        <v>58</v>
      </c>
      <c r="B9" t="s">
        <v>92</v>
      </c>
      <c r="C9">
        <v>7</v>
      </c>
      <c r="D9">
        <v>0</v>
      </c>
      <c r="E9">
        <v>630</v>
      </c>
      <c r="F9">
        <v>0</v>
      </c>
      <c r="G9">
        <v>0</v>
      </c>
      <c r="H9">
        <v>0</v>
      </c>
      <c r="I9">
        <v>280</v>
      </c>
      <c r="J9">
        <v>0</v>
      </c>
      <c r="K9">
        <v>0</v>
      </c>
      <c r="N9" t="s">
        <v>75</v>
      </c>
      <c r="O9" t="s">
        <v>79</v>
      </c>
      <c r="P9" t="s">
        <v>55</v>
      </c>
      <c r="Q9" t="s">
        <v>49</v>
      </c>
      <c r="R9" t="s">
        <v>74</v>
      </c>
      <c r="S9" t="s">
        <v>73</v>
      </c>
      <c r="T9" t="s">
        <v>140</v>
      </c>
      <c r="U9" t="s">
        <v>142</v>
      </c>
      <c r="V9" t="s">
        <v>144</v>
      </c>
    </row>
    <row r="10" spans="1:22">
      <c r="A10" t="s">
        <v>58</v>
      </c>
      <c r="B10" t="s">
        <v>93</v>
      </c>
      <c r="C10">
        <v>8</v>
      </c>
      <c r="D10">
        <v>0</v>
      </c>
      <c r="E10">
        <v>720</v>
      </c>
      <c r="F10">
        <v>0</v>
      </c>
      <c r="G10">
        <v>0</v>
      </c>
      <c r="H10">
        <v>0</v>
      </c>
      <c r="I10">
        <v>320</v>
      </c>
      <c r="J10">
        <v>0</v>
      </c>
      <c r="K10">
        <v>0</v>
      </c>
      <c r="N10" t="s">
        <v>52</v>
      </c>
      <c r="O10">
        <f>VLOOKUP(O5,弓箭!B1:K56,3,FALSE)</f>
        <v>0</v>
      </c>
      <c r="P10">
        <f>VLOOKUP(O5,弓箭!B1:K56,4,FALSE)</f>
        <v>900</v>
      </c>
      <c r="Q10">
        <f>VLOOKUP(O5,弓箭!B1:K56,5,FALSE)</f>
        <v>0</v>
      </c>
      <c r="R10">
        <f>VLOOKUP(O5,弓箭!B1:K56,6,FALSE)</f>
        <v>0</v>
      </c>
      <c r="S10">
        <f>VLOOKUP(O5,弓箭!B1:K56,7,FALSE)</f>
        <v>0</v>
      </c>
      <c r="T10">
        <f>VLOOKUP(O5,弓箭!B1:K56,8,FALSE)</f>
        <v>400</v>
      </c>
      <c r="U10">
        <f>VLOOKUP(O5,弓箭!B1:K56,9,FALSE)</f>
        <v>0</v>
      </c>
      <c r="V10">
        <f>VLOOKUP(O5,弓箭!B1:K56,10,FALSE)</f>
        <v>0</v>
      </c>
    </row>
    <row r="11" spans="1:22">
      <c r="A11" t="s">
        <v>58</v>
      </c>
      <c r="B11" t="s">
        <v>94</v>
      </c>
      <c r="C11">
        <v>9</v>
      </c>
      <c r="D11">
        <v>0</v>
      </c>
      <c r="E11">
        <v>810</v>
      </c>
      <c r="F11">
        <v>0</v>
      </c>
      <c r="G11">
        <v>0</v>
      </c>
      <c r="H11">
        <v>0</v>
      </c>
      <c r="I11">
        <v>360</v>
      </c>
      <c r="J11">
        <v>0</v>
      </c>
      <c r="K11">
        <v>0</v>
      </c>
      <c r="N11" t="s">
        <v>41</v>
      </c>
      <c r="O11">
        <f>VLOOKUP(P5,弓箭!B1:K56,3,FALSE)</f>
        <v>3500</v>
      </c>
      <c r="P11">
        <f>VLOOKUP(P5,弓箭!B1:K56,4,FALSE)</f>
        <v>0</v>
      </c>
      <c r="Q11">
        <f>VLOOKUP(P5,弓箭!B1:K56,5,FALSE)</f>
        <v>0</v>
      </c>
      <c r="R11">
        <f>VLOOKUP(P5,弓箭!B1:K56,6,FALSE)</f>
        <v>0</v>
      </c>
      <c r="S11">
        <f>VLOOKUP(P5,弓箭!B1:K56,7,FALSE)</f>
        <v>0</v>
      </c>
      <c r="T11">
        <f>VLOOKUP(P5,弓箭!B1:K56,8,FALSE)</f>
        <v>0</v>
      </c>
      <c r="U11">
        <f>VLOOKUP(P5,弓箭!B1:K56,9,FALSE)</f>
        <v>0</v>
      </c>
      <c r="V11">
        <f>VLOOKUP(P5,弓箭!B1:K56,10,FALSE)</f>
        <v>0</v>
      </c>
    </row>
    <row r="12" spans="1:22">
      <c r="A12" t="s">
        <v>58</v>
      </c>
      <c r="B12" t="s">
        <v>61</v>
      </c>
      <c r="C12">
        <v>10</v>
      </c>
      <c r="D12">
        <v>0</v>
      </c>
      <c r="E12">
        <v>900</v>
      </c>
      <c r="F12">
        <v>0</v>
      </c>
      <c r="G12">
        <v>0</v>
      </c>
      <c r="H12">
        <v>0</v>
      </c>
      <c r="I12">
        <v>400</v>
      </c>
      <c r="J12">
        <v>0</v>
      </c>
      <c r="K12">
        <v>0</v>
      </c>
      <c r="N12" t="s">
        <v>69</v>
      </c>
      <c r="O12">
        <f>VLOOKUP(Q5,弓箭!B1:K56,3,FALSE)</f>
        <v>0</v>
      </c>
      <c r="P12">
        <f>VLOOKUP(Q5,弓箭!B1:K56,4,FALSE)</f>
        <v>0</v>
      </c>
      <c r="Q12">
        <f>VLOOKUP(Q5,弓箭!B1:K56,5,FALSE)</f>
        <v>600</v>
      </c>
      <c r="R12">
        <f>VLOOKUP(Q5,弓箭!B1:K56,6,FALSE)</f>
        <v>0</v>
      </c>
      <c r="S12">
        <f>VLOOKUP(Q5,弓箭!B1:K56,7,FALSE)</f>
        <v>0</v>
      </c>
      <c r="T12">
        <f>VLOOKUP(Q5,弓箭!B1:K56,8,FALSE)</f>
        <v>0</v>
      </c>
      <c r="U12">
        <f>VLOOKUP(Q5,弓箭!B1:K56,9,FALSE)</f>
        <v>0</v>
      </c>
      <c r="V12">
        <f>VLOOKUP(Q5,弓箭!B1:K56,10,FALSE)</f>
        <v>0</v>
      </c>
    </row>
    <row r="13" spans="1:22">
      <c r="A13" t="s">
        <v>58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N13" t="s">
        <v>70</v>
      </c>
      <c r="O13">
        <f>VLOOKUP(R5,弓箭!B1:K56,3,FALSE)</f>
        <v>0</v>
      </c>
      <c r="P13">
        <f>VLOOKUP(R5,弓箭!B1:K56,4,FALSE)</f>
        <v>0</v>
      </c>
      <c r="Q13">
        <f>VLOOKUP(R5,弓箭!B1:K56,5,FALSE)</f>
        <v>0</v>
      </c>
      <c r="R13">
        <f>VLOOKUP(R5,弓箭!B1:K56,6,FALSE)</f>
        <v>0</v>
      </c>
      <c r="S13">
        <f>VLOOKUP(R5,弓箭!B1:K56,7,FALSE)</f>
        <v>600</v>
      </c>
      <c r="T13">
        <f>VLOOKUP(R5,弓箭!B1:K56,8,FALSE)</f>
        <v>0</v>
      </c>
      <c r="U13">
        <f>VLOOKUP(R5,弓箭!B1:K56,9,FALSE)</f>
        <v>200</v>
      </c>
      <c r="V13">
        <f>VLOOKUP(R5,弓箭!B1:K56,10,FALSE)</f>
        <v>0</v>
      </c>
    </row>
    <row r="14" spans="1:22">
      <c r="A14" t="s">
        <v>58</v>
      </c>
      <c r="B14" t="s">
        <v>83</v>
      </c>
      <c r="C14">
        <v>1</v>
      </c>
      <c r="D14">
        <v>350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N14" t="s">
        <v>53</v>
      </c>
      <c r="O14">
        <f>VLOOKUP(S5,弓箭!B1:K56,3,FALSE)</f>
        <v>0</v>
      </c>
      <c r="P14">
        <f>VLOOKUP(S5,弓箭!B1:K56,4,FALSE)</f>
        <v>100</v>
      </c>
      <c r="Q14">
        <f>VLOOKUP(S5,弓箭!B1:K56,5,FALSE)</f>
        <v>0</v>
      </c>
      <c r="R14">
        <f>VLOOKUP(S5,弓箭!B1:K56,6,FALSE)</f>
        <v>0</v>
      </c>
      <c r="S14">
        <f>VLOOKUP(S5,弓箭!B1:K56,7,FALSE)</f>
        <v>0</v>
      </c>
      <c r="T14">
        <f>VLOOKUP(S5,弓箭!B1:K56,8,FALSE)</f>
        <v>0</v>
      </c>
      <c r="U14">
        <f>VLOOKUP(S5,弓箭!B1:K56,9,FALSE)</f>
        <v>0</v>
      </c>
      <c r="V14">
        <f>VLOOKUP(S5,弓箭!B1:K56,10,FALSE)</f>
        <v>200</v>
      </c>
    </row>
    <row r="15" spans="1:22">
      <c r="A15" t="s">
        <v>58</v>
      </c>
      <c r="B15" t="s">
        <v>95</v>
      </c>
      <c r="C15">
        <v>2</v>
      </c>
      <c r="D15">
        <v>700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22">
      <c r="A16" t="s">
        <v>58</v>
      </c>
      <c r="B16" t="s">
        <v>96</v>
      </c>
      <c r="C16">
        <v>3</v>
      </c>
      <c r="D16">
        <v>1050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>
      <c r="A17" t="s">
        <v>58</v>
      </c>
      <c r="B17" t="s">
        <v>97</v>
      </c>
      <c r="C17">
        <v>4</v>
      </c>
      <c r="D17">
        <v>1400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58</v>
      </c>
      <c r="B18" t="s">
        <v>98</v>
      </c>
      <c r="C18">
        <v>5</v>
      </c>
      <c r="D18">
        <v>1750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>
      <c r="A19" t="s">
        <v>58</v>
      </c>
      <c r="B19" t="s">
        <v>99</v>
      </c>
      <c r="C19">
        <v>6</v>
      </c>
      <c r="D19">
        <v>2100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>
      <c r="A20" t="s">
        <v>58</v>
      </c>
      <c r="B20" t="s">
        <v>100</v>
      </c>
      <c r="C20">
        <v>7</v>
      </c>
      <c r="D20">
        <v>2450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>
      <c r="A21" t="s">
        <v>58</v>
      </c>
      <c r="B21" t="s">
        <v>101</v>
      </c>
      <c r="C21">
        <v>8</v>
      </c>
      <c r="D21">
        <v>2800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>
      <c r="A22" t="s">
        <v>58</v>
      </c>
      <c r="B22" t="s">
        <v>102</v>
      </c>
      <c r="C22">
        <v>9</v>
      </c>
      <c r="D22">
        <v>3150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58</v>
      </c>
      <c r="B23" t="s">
        <v>62</v>
      </c>
      <c r="C23">
        <v>10</v>
      </c>
      <c r="D23">
        <v>3500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>
      <c r="A24" t="s">
        <v>58</v>
      </c>
      <c r="B24" t="s">
        <v>76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58</v>
      </c>
      <c r="B25" t="s">
        <v>84</v>
      </c>
      <c r="C25">
        <v>1</v>
      </c>
      <c r="D25">
        <v>0</v>
      </c>
      <c r="E25">
        <v>0</v>
      </c>
      <c r="F25">
        <v>60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>
      <c r="A26" t="s">
        <v>58</v>
      </c>
      <c r="B26" t="s">
        <v>103</v>
      </c>
      <c r="C26">
        <v>2</v>
      </c>
      <c r="D26">
        <v>0</v>
      </c>
      <c r="E26">
        <v>0</v>
      </c>
      <c r="F26">
        <v>120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>
      <c r="A27" t="s">
        <v>58</v>
      </c>
      <c r="B27" t="s">
        <v>104</v>
      </c>
      <c r="C27">
        <v>3</v>
      </c>
      <c r="D27">
        <v>0</v>
      </c>
      <c r="E27">
        <v>0</v>
      </c>
      <c r="F27">
        <v>180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>
      <c r="A28" t="s">
        <v>58</v>
      </c>
      <c r="B28" t="s">
        <v>105</v>
      </c>
      <c r="C28">
        <v>4</v>
      </c>
      <c r="D28">
        <v>0</v>
      </c>
      <c r="E28">
        <v>0</v>
      </c>
      <c r="F28">
        <v>240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>
      <c r="A29" t="s">
        <v>58</v>
      </c>
      <c r="B29" t="s">
        <v>106</v>
      </c>
      <c r="C29">
        <v>5</v>
      </c>
      <c r="D29">
        <v>0</v>
      </c>
      <c r="E29">
        <v>0</v>
      </c>
      <c r="F29">
        <v>300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>
      <c r="A30" t="s">
        <v>58</v>
      </c>
      <c r="B30" t="s">
        <v>107</v>
      </c>
      <c r="C30">
        <v>6</v>
      </c>
      <c r="D30">
        <v>0</v>
      </c>
      <c r="E30">
        <v>0</v>
      </c>
      <c r="F30">
        <v>360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>
      <c r="A31" t="s">
        <v>58</v>
      </c>
      <c r="B31" t="s">
        <v>108</v>
      </c>
      <c r="C31">
        <v>7</v>
      </c>
      <c r="D31">
        <v>0</v>
      </c>
      <c r="E31">
        <v>0</v>
      </c>
      <c r="F31">
        <v>420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>
      <c r="A32" t="s">
        <v>58</v>
      </c>
      <c r="B32" t="s">
        <v>109</v>
      </c>
      <c r="C32">
        <v>8</v>
      </c>
      <c r="D32">
        <v>0</v>
      </c>
      <c r="E32">
        <v>0</v>
      </c>
      <c r="F32">
        <v>480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 t="s">
        <v>58</v>
      </c>
      <c r="B33" t="s">
        <v>110</v>
      </c>
      <c r="C33">
        <v>9</v>
      </c>
      <c r="D33">
        <v>0</v>
      </c>
      <c r="E33">
        <v>0</v>
      </c>
      <c r="F33">
        <v>540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 t="s">
        <v>58</v>
      </c>
      <c r="B34" t="s">
        <v>63</v>
      </c>
      <c r="C34">
        <v>10</v>
      </c>
      <c r="D34">
        <v>0</v>
      </c>
      <c r="E34">
        <v>0</v>
      </c>
      <c r="F34">
        <v>600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 t="s">
        <v>58</v>
      </c>
      <c r="B35" t="s">
        <v>76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 t="s">
        <v>58</v>
      </c>
      <c r="B36" t="s">
        <v>85</v>
      </c>
      <c r="C36">
        <v>1</v>
      </c>
      <c r="D36">
        <v>0</v>
      </c>
      <c r="E36">
        <v>0</v>
      </c>
      <c r="F36">
        <v>0</v>
      </c>
      <c r="G36">
        <v>0</v>
      </c>
      <c r="H36">
        <v>60</v>
      </c>
      <c r="I36">
        <v>0</v>
      </c>
      <c r="J36">
        <v>20</v>
      </c>
      <c r="K36">
        <v>0</v>
      </c>
    </row>
    <row r="37" spans="1:11">
      <c r="A37" t="s">
        <v>58</v>
      </c>
      <c r="B37" t="s">
        <v>111</v>
      </c>
      <c r="C37">
        <v>2</v>
      </c>
      <c r="D37">
        <v>0</v>
      </c>
      <c r="E37">
        <v>0</v>
      </c>
      <c r="F37">
        <v>0</v>
      </c>
      <c r="G37">
        <v>0</v>
      </c>
      <c r="H37">
        <v>120</v>
      </c>
      <c r="I37">
        <v>0</v>
      </c>
      <c r="J37">
        <v>40</v>
      </c>
      <c r="K37">
        <v>0</v>
      </c>
    </row>
    <row r="38" spans="1:11">
      <c r="A38" t="s">
        <v>58</v>
      </c>
      <c r="B38" t="s">
        <v>112</v>
      </c>
      <c r="C38">
        <v>3</v>
      </c>
      <c r="D38">
        <v>0</v>
      </c>
      <c r="E38">
        <v>0</v>
      </c>
      <c r="F38">
        <v>0</v>
      </c>
      <c r="G38">
        <v>0</v>
      </c>
      <c r="H38">
        <v>180</v>
      </c>
      <c r="I38">
        <v>0</v>
      </c>
      <c r="J38">
        <v>60</v>
      </c>
      <c r="K38">
        <v>0</v>
      </c>
    </row>
    <row r="39" spans="1:11">
      <c r="A39" t="s">
        <v>58</v>
      </c>
      <c r="B39" t="s">
        <v>113</v>
      </c>
      <c r="C39">
        <v>4</v>
      </c>
      <c r="D39">
        <v>0</v>
      </c>
      <c r="E39">
        <v>0</v>
      </c>
      <c r="F39">
        <v>0</v>
      </c>
      <c r="G39">
        <v>0</v>
      </c>
      <c r="H39">
        <v>240</v>
      </c>
      <c r="I39">
        <v>0</v>
      </c>
      <c r="J39">
        <v>80</v>
      </c>
      <c r="K39">
        <v>0</v>
      </c>
    </row>
    <row r="40" spans="1:11">
      <c r="A40" t="s">
        <v>58</v>
      </c>
      <c r="B40" t="s">
        <v>114</v>
      </c>
      <c r="C40">
        <v>5</v>
      </c>
      <c r="D40">
        <v>0</v>
      </c>
      <c r="E40">
        <v>0</v>
      </c>
      <c r="F40">
        <v>0</v>
      </c>
      <c r="G40">
        <v>0</v>
      </c>
      <c r="H40">
        <v>300</v>
      </c>
      <c r="I40">
        <v>0</v>
      </c>
      <c r="J40">
        <v>100</v>
      </c>
      <c r="K40">
        <v>0</v>
      </c>
    </row>
    <row r="41" spans="1:11">
      <c r="A41" t="s">
        <v>58</v>
      </c>
      <c r="B41" t="s">
        <v>115</v>
      </c>
      <c r="C41">
        <v>6</v>
      </c>
      <c r="D41">
        <v>0</v>
      </c>
      <c r="E41">
        <v>0</v>
      </c>
      <c r="F41">
        <v>0</v>
      </c>
      <c r="G41">
        <v>0</v>
      </c>
      <c r="H41">
        <v>360</v>
      </c>
      <c r="I41">
        <v>0</v>
      </c>
      <c r="J41">
        <v>120</v>
      </c>
      <c r="K41">
        <v>0</v>
      </c>
    </row>
    <row r="42" spans="1:11">
      <c r="A42" t="s">
        <v>58</v>
      </c>
      <c r="B42" t="s">
        <v>116</v>
      </c>
      <c r="C42">
        <v>7</v>
      </c>
      <c r="D42">
        <v>0</v>
      </c>
      <c r="E42">
        <v>0</v>
      </c>
      <c r="F42">
        <v>0</v>
      </c>
      <c r="G42">
        <v>0</v>
      </c>
      <c r="H42">
        <v>420</v>
      </c>
      <c r="I42">
        <v>0</v>
      </c>
      <c r="J42">
        <v>140</v>
      </c>
      <c r="K42">
        <v>0</v>
      </c>
    </row>
    <row r="43" spans="1:11">
      <c r="A43" t="s">
        <v>58</v>
      </c>
      <c r="B43" t="s">
        <v>117</v>
      </c>
      <c r="C43">
        <v>8</v>
      </c>
      <c r="D43">
        <v>0</v>
      </c>
      <c r="E43">
        <v>0</v>
      </c>
      <c r="F43">
        <v>0</v>
      </c>
      <c r="G43">
        <v>0</v>
      </c>
      <c r="H43">
        <v>480</v>
      </c>
      <c r="I43">
        <v>0</v>
      </c>
      <c r="J43">
        <v>160</v>
      </c>
      <c r="K43">
        <v>0</v>
      </c>
    </row>
    <row r="44" spans="1:11">
      <c r="A44" t="s">
        <v>58</v>
      </c>
      <c r="B44" t="s">
        <v>118</v>
      </c>
      <c r="C44">
        <v>9</v>
      </c>
      <c r="D44">
        <v>0</v>
      </c>
      <c r="E44">
        <v>0</v>
      </c>
      <c r="F44">
        <v>0</v>
      </c>
      <c r="G44">
        <v>0</v>
      </c>
      <c r="H44">
        <v>540</v>
      </c>
      <c r="I44">
        <v>0</v>
      </c>
      <c r="J44">
        <v>180</v>
      </c>
      <c r="K44">
        <v>0</v>
      </c>
    </row>
    <row r="45" spans="1:11">
      <c r="A45" t="s">
        <v>58</v>
      </c>
      <c r="B45" t="s">
        <v>64</v>
      </c>
      <c r="C45">
        <v>10</v>
      </c>
      <c r="D45">
        <v>0</v>
      </c>
      <c r="E45">
        <v>0</v>
      </c>
      <c r="F45">
        <v>0</v>
      </c>
      <c r="G45">
        <v>0</v>
      </c>
      <c r="H45">
        <v>600</v>
      </c>
      <c r="I45">
        <v>0</v>
      </c>
      <c r="J45">
        <v>200</v>
      </c>
      <c r="K45">
        <v>0</v>
      </c>
    </row>
    <row r="46" spans="1:11">
      <c r="A46" t="s">
        <v>58</v>
      </c>
      <c r="B46" t="s">
        <v>76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>
      <c r="A47" t="s">
        <v>58</v>
      </c>
      <c r="B47" t="s">
        <v>86</v>
      </c>
      <c r="C47">
        <v>1</v>
      </c>
      <c r="D47">
        <v>0</v>
      </c>
      <c r="E47">
        <v>10</v>
      </c>
      <c r="F47">
        <v>0</v>
      </c>
      <c r="G47">
        <v>0</v>
      </c>
      <c r="H47">
        <v>0</v>
      </c>
      <c r="I47">
        <v>0</v>
      </c>
      <c r="J47">
        <v>0</v>
      </c>
      <c r="K47">
        <v>20</v>
      </c>
    </row>
    <row r="48" spans="1:11">
      <c r="A48" t="s">
        <v>58</v>
      </c>
      <c r="B48" t="s">
        <v>119</v>
      </c>
      <c r="C48">
        <v>2</v>
      </c>
      <c r="D48">
        <v>0</v>
      </c>
      <c r="E48">
        <v>20</v>
      </c>
      <c r="F48">
        <v>0</v>
      </c>
      <c r="G48">
        <v>0</v>
      </c>
      <c r="H48">
        <v>0</v>
      </c>
      <c r="I48">
        <v>0</v>
      </c>
      <c r="J48">
        <v>0</v>
      </c>
      <c r="K48">
        <v>40</v>
      </c>
    </row>
    <row r="49" spans="1:11">
      <c r="A49" t="s">
        <v>58</v>
      </c>
      <c r="B49" t="s">
        <v>120</v>
      </c>
      <c r="C49">
        <v>3</v>
      </c>
      <c r="D49">
        <v>0</v>
      </c>
      <c r="E49">
        <v>30</v>
      </c>
      <c r="F49">
        <v>0</v>
      </c>
      <c r="G49">
        <v>0</v>
      </c>
      <c r="H49">
        <v>0</v>
      </c>
      <c r="I49">
        <v>0</v>
      </c>
      <c r="J49">
        <v>0</v>
      </c>
      <c r="K49">
        <v>60</v>
      </c>
    </row>
    <row r="50" spans="1:11">
      <c r="A50" t="s">
        <v>58</v>
      </c>
      <c r="B50" t="s">
        <v>121</v>
      </c>
      <c r="C50">
        <v>4</v>
      </c>
      <c r="D50">
        <v>0</v>
      </c>
      <c r="E50">
        <v>40</v>
      </c>
      <c r="F50">
        <v>0</v>
      </c>
      <c r="G50">
        <v>0</v>
      </c>
      <c r="H50">
        <v>0</v>
      </c>
      <c r="I50">
        <v>0</v>
      </c>
      <c r="J50">
        <v>0</v>
      </c>
      <c r="K50">
        <v>80</v>
      </c>
    </row>
    <row r="51" spans="1:11">
      <c r="A51" t="s">
        <v>58</v>
      </c>
      <c r="B51" t="s">
        <v>122</v>
      </c>
      <c r="C51">
        <v>5</v>
      </c>
      <c r="D51">
        <v>0</v>
      </c>
      <c r="E51">
        <v>50</v>
      </c>
      <c r="F51">
        <v>0</v>
      </c>
      <c r="G51">
        <v>0</v>
      </c>
      <c r="H51">
        <v>0</v>
      </c>
      <c r="I51">
        <v>0</v>
      </c>
      <c r="J51">
        <v>0</v>
      </c>
      <c r="K51">
        <v>100</v>
      </c>
    </row>
    <row r="52" spans="1:11">
      <c r="A52" t="s">
        <v>58</v>
      </c>
      <c r="B52" t="s">
        <v>123</v>
      </c>
      <c r="C52">
        <v>6</v>
      </c>
      <c r="D52">
        <v>0</v>
      </c>
      <c r="E52">
        <v>60</v>
      </c>
      <c r="F52">
        <v>0</v>
      </c>
      <c r="G52">
        <v>0</v>
      </c>
      <c r="H52">
        <v>0</v>
      </c>
      <c r="I52">
        <v>0</v>
      </c>
      <c r="J52">
        <v>0</v>
      </c>
      <c r="K52">
        <v>120</v>
      </c>
    </row>
    <row r="53" spans="1:11">
      <c r="A53" t="s">
        <v>58</v>
      </c>
      <c r="B53" t="s">
        <v>124</v>
      </c>
      <c r="C53">
        <v>7</v>
      </c>
      <c r="D53">
        <v>0</v>
      </c>
      <c r="E53">
        <v>70</v>
      </c>
      <c r="F53">
        <v>0</v>
      </c>
      <c r="G53">
        <v>0</v>
      </c>
      <c r="H53">
        <v>0</v>
      </c>
      <c r="I53">
        <v>0</v>
      </c>
      <c r="J53">
        <v>0</v>
      </c>
      <c r="K53">
        <v>140</v>
      </c>
    </row>
    <row r="54" spans="1:11">
      <c r="A54" t="s">
        <v>58</v>
      </c>
      <c r="B54" t="s">
        <v>125</v>
      </c>
      <c r="C54">
        <v>8</v>
      </c>
      <c r="D54">
        <v>0</v>
      </c>
      <c r="E54">
        <v>80</v>
      </c>
      <c r="F54">
        <v>0</v>
      </c>
      <c r="G54">
        <v>0</v>
      </c>
      <c r="H54">
        <v>0</v>
      </c>
      <c r="I54">
        <v>0</v>
      </c>
      <c r="J54">
        <v>0</v>
      </c>
      <c r="K54">
        <v>160</v>
      </c>
    </row>
    <row r="55" spans="1:11">
      <c r="A55" t="s">
        <v>58</v>
      </c>
      <c r="B55" t="s">
        <v>126</v>
      </c>
      <c r="C55">
        <v>9</v>
      </c>
      <c r="D55">
        <v>0</v>
      </c>
      <c r="E55">
        <v>90</v>
      </c>
      <c r="F55">
        <v>0</v>
      </c>
      <c r="G55">
        <v>0</v>
      </c>
      <c r="H55">
        <v>0</v>
      </c>
      <c r="I55">
        <v>0</v>
      </c>
      <c r="J55">
        <v>0</v>
      </c>
      <c r="K55">
        <v>180</v>
      </c>
    </row>
    <row r="56" spans="1:11">
      <c r="A56" t="s">
        <v>58</v>
      </c>
      <c r="B56" t="s">
        <v>65</v>
      </c>
      <c r="C56">
        <v>10</v>
      </c>
      <c r="D56">
        <v>0</v>
      </c>
      <c r="E56">
        <v>100</v>
      </c>
      <c r="F56">
        <v>0</v>
      </c>
      <c r="G56">
        <v>0</v>
      </c>
      <c r="H56">
        <v>0</v>
      </c>
      <c r="I56">
        <v>0</v>
      </c>
      <c r="J56">
        <v>0</v>
      </c>
      <c r="K56">
        <v>200</v>
      </c>
    </row>
  </sheetData>
  <phoneticPr fontId="1" type="noConversion"/>
  <dataValidations count="5">
    <dataValidation type="list" allowBlank="1" showInputMessage="1" showErrorMessage="1" sqref="S5">
      <formula1>$B$46:$B$56</formula1>
    </dataValidation>
    <dataValidation type="list" allowBlank="1" showInputMessage="1" showErrorMessage="1" sqref="R5">
      <formula1>$B$35:$B$45</formula1>
    </dataValidation>
    <dataValidation type="list" allowBlank="1" showInputMessage="1" showErrorMessage="1" sqref="Q5">
      <formula1>$B$24:$B$34</formula1>
    </dataValidation>
    <dataValidation type="list" allowBlank="1" showInputMessage="1" showErrorMessage="1" sqref="P5">
      <formula1>$B$13:$B$23</formula1>
    </dataValidation>
    <dataValidation type="list" allowBlank="1" showInputMessage="1" showErrorMessage="1" sqref="L5 O5">
      <formula1>$B$2:$B$12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V56"/>
  <sheetViews>
    <sheetView workbookViewId="0">
      <selection activeCell="N17" sqref="N17"/>
    </sheetView>
  </sheetViews>
  <sheetFormatPr defaultRowHeight="13.5"/>
  <sheetData>
    <row r="1" spans="1:22">
      <c r="A1" t="s">
        <v>44</v>
      </c>
      <c r="B1" t="s">
        <v>37</v>
      </c>
      <c r="C1" t="s">
        <v>39</v>
      </c>
      <c r="D1" t="s">
        <v>78</v>
      </c>
      <c r="E1" t="s">
        <v>54</v>
      </c>
      <c r="F1" t="s">
        <v>48</v>
      </c>
      <c r="G1" t="s">
        <v>56</v>
      </c>
      <c r="H1" t="s">
        <v>50</v>
      </c>
      <c r="I1" t="s">
        <v>140</v>
      </c>
      <c r="J1" t="s">
        <v>142</v>
      </c>
      <c r="K1" t="s">
        <v>144</v>
      </c>
    </row>
    <row r="2" spans="1:22">
      <c r="A2" t="s">
        <v>36</v>
      </c>
      <c r="B2" t="s">
        <v>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22">
      <c r="A3" t="s">
        <v>36</v>
      </c>
      <c r="B3" t="s">
        <v>82</v>
      </c>
      <c r="C3">
        <v>1</v>
      </c>
      <c r="D3">
        <v>0</v>
      </c>
      <c r="E3">
        <v>0</v>
      </c>
      <c r="F3">
        <v>0</v>
      </c>
      <c r="G3">
        <v>100</v>
      </c>
      <c r="H3">
        <v>0</v>
      </c>
      <c r="I3">
        <v>30</v>
      </c>
      <c r="J3">
        <v>0</v>
      </c>
      <c r="K3">
        <v>0</v>
      </c>
      <c r="M3" t="s">
        <v>71</v>
      </c>
    </row>
    <row r="4" spans="1:22">
      <c r="A4" t="s">
        <v>36</v>
      </c>
      <c r="B4" t="s">
        <v>87</v>
      </c>
      <c r="C4">
        <v>2</v>
      </c>
      <c r="D4">
        <v>0</v>
      </c>
      <c r="E4">
        <v>0</v>
      </c>
      <c r="F4">
        <v>0</v>
      </c>
      <c r="G4">
        <v>200</v>
      </c>
      <c r="H4">
        <v>0</v>
      </c>
      <c r="I4">
        <v>60</v>
      </c>
      <c r="J4">
        <v>0</v>
      </c>
      <c r="K4">
        <v>0</v>
      </c>
      <c r="N4" t="s">
        <v>45</v>
      </c>
      <c r="O4" t="s">
        <v>52</v>
      </c>
      <c r="P4" t="s">
        <v>41</v>
      </c>
      <c r="Q4" t="s">
        <v>69</v>
      </c>
      <c r="R4" t="s">
        <v>70</v>
      </c>
      <c r="S4" t="s">
        <v>53</v>
      </c>
    </row>
    <row r="5" spans="1:22">
      <c r="A5" t="s">
        <v>36</v>
      </c>
      <c r="B5" t="s">
        <v>88</v>
      </c>
      <c r="C5">
        <v>3</v>
      </c>
      <c r="D5">
        <v>0</v>
      </c>
      <c r="E5">
        <v>0</v>
      </c>
      <c r="F5">
        <v>0</v>
      </c>
      <c r="G5">
        <v>300</v>
      </c>
      <c r="H5">
        <v>0</v>
      </c>
      <c r="I5">
        <v>90</v>
      </c>
      <c r="J5">
        <v>0</v>
      </c>
      <c r="K5">
        <v>0</v>
      </c>
      <c r="N5" t="s">
        <v>36</v>
      </c>
      <c r="O5" t="s">
        <v>154</v>
      </c>
      <c r="P5" t="s">
        <v>150</v>
      </c>
      <c r="Q5" t="s">
        <v>151</v>
      </c>
      <c r="R5" t="s">
        <v>152</v>
      </c>
      <c r="S5" t="s">
        <v>153</v>
      </c>
    </row>
    <row r="6" spans="1:22">
      <c r="A6" t="s">
        <v>36</v>
      </c>
      <c r="B6" t="s">
        <v>89</v>
      </c>
      <c r="C6">
        <v>4</v>
      </c>
      <c r="D6">
        <v>0</v>
      </c>
      <c r="E6">
        <v>0</v>
      </c>
      <c r="F6">
        <v>0</v>
      </c>
      <c r="G6">
        <v>400</v>
      </c>
      <c r="H6">
        <v>0</v>
      </c>
      <c r="I6">
        <v>120</v>
      </c>
      <c r="J6">
        <v>0</v>
      </c>
      <c r="K6">
        <v>0</v>
      </c>
    </row>
    <row r="7" spans="1:22">
      <c r="A7" t="s">
        <v>36</v>
      </c>
      <c r="B7" t="s">
        <v>90</v>
      </c>
      <c r="C7">
        <v>5</v>
      </c>
      <c r="D7">
        <v>0</v>
      </c>
      <c r="E7">
        <v>0</v>
      </c>
      <c r="F7">
        <v>0</v>
      </c>
      <c r="G7">
        <v>500</v>
      </c>
      <c r="H7">
        <v>0</v>
      </c>
      <c r="I7">
        <v>150</v>
      </c>
      <c r="J7">
        <v>0</v>
      </c>
      <c r="K7">
        <v>0</v>
      </c>
    </row>
    <row r="8" spans="1:22">
      <c r="A8" t="s">
        <v>36</v>
      </c>
      <c r="B8" t="s">
        <v>91</v>
      </c>
      <c r="C8">
        <v>6</v>
      </c>
      <c r="D8">
        <v>0</v>
      </c>
      <c r="E8">
        <v>0</v>
      </c>
      <c r="F8">
        <v>0</v>
      </c>
      <c r="G8">
        <v>600</v>
      </c>
      <c r="H8">
        <v>0</v>
      </c>
      <c r="I8">
        <v>180</v>
      </c>
      <c r="J8">
        <v>0</v>
      </c>
      <c r="K8">
        <v>0</v>
      </c>
      <c r="M8" t="s">
        <v>72</v>
      </c>
    </row>
    <row r="9" spans="1:22">
      <c r="A9" t="s">
        <v>36</v>
      </c>
      <c r="B9" t="s">
        <v>92</v>
      </c>
      <c r="C9">
        <v>7</v>
      </c>
      <c r="D9">
        <v>0</v>
      </c>
      <c r="E9">
        <v>0</v>
      </c>
      <c r="F9">
        <v>0</v>
      </c>
      <c r="G9">
        <v>700</v>
      </c>
      <c r="H9">
        <v>0</v>
      </c>
      <c r="I9">
        <v>210</v>
      </c>
      <c r="J9">
        <v>0</v>
      </c>
      <c r="K9">
        <v>0</v>
      </c>
      <c r="N9" t="s">
        <v>75</v>
      </c>
      <c r="O9" t="s">
        <v>79</v>
      </c>
      <c r="P9" t="s">
        <v>55</v>
      </c>
      <c r="Q9" t="s">
        <v>49</v>
      </c>
      <c r="R9" t="s">
        <v>74</v>
      </c>
      <c r="S9" t="s">
        <v>73</v>
      </c>
      <c r="T9" t="s">
        <v>140</v>
      </c>
      <c r="U9" t="s">
        <v>142</v>
      </c>
      <c r="V9" t="s">
        <v>144</v>
      </c>
    </row>
    <row r="10" spans="1:22">
      <c r="A10" t="s">
        <v>36</v>
      </c>
      <c r="B10" t="s">
        <v>93</v>
      </c>
      <c r="C10">
        <v>8</v>
      </c>
      <c r="D10">
        <v>0</v>
      </c>
      <c r="E10">
        <v>0</v>
      </c>
      <c r="F10">
        <v>0</v>
      </c>
      <c r="G10">
        <v>800</v>
      </c>
      <c r="H10">
        <v>0</v>
      </c>
      <c r="I10">
        <v>240</v>
      </c>
      <c r="J10">
        <v>0</v>
      </c>
      <c r="K10">
        <v>0</v>
      </c>
      <c r="N10" t="s">
        <v>52</v>
      </c>
      <c r="O10">
        <f>VLOOKUP(O5,法师!B1:K56,3,FALSE)</f>
        <v>0</v>
      </c>
      <c r="P10">
        <f>VLOOKUP(O5,法师!B1:K56,4,FALSE)</f>
        <v>0</v>
      </c>
      <c r="Q10">
        <f>VLOOKUP(O5,法师!B1:K56,5,FALSE)</f>
        <v>0</v>
      </c>
      <c r="R10">
        <f>VLOOKUP(O5,法师!B1:K56,6,FALSE)</f>
        <v>1000</v>
      </c>
      <c r="S10">
        <f>VLOOKUP(O5,法师!B1:K56,7,FALSE)</f>
        <v>0</v>
      </c>
      <c r="T10">
        <f>VLOOKUP(O5,法师!B1:K56,8,FALSE)</f>
        <v>300</v>
      </c>
      <c r="U10">
        <f>VLOOKUP(O5,法师!B1:K56,9,FALSE)</f>
        <v>0</v>
      </c>
      <c r="V10">
        <f>VLOOKUP(O5,法师!B1:K56,10,FALSE)</f>
        <v>0</v>
      </c>
    </row>
    <row r="11" spans="1:22">
      <c r="A11" t="s">
        <v>36</v>
      </c>
      <c r="B11" t="s">
        <v>94</v>
      </c>
      <c r="C11">
        <v>9</v>
      </c>
      <c r="D11">
        <v>0</v>
      </c>
      <c r="E11">
        <v>0</v>
      </c>
      <c r="F11">
        <v>0</v>
      </c>
      <c r="G11">
        <v>900</v>
      </c>
      <c r="H11">
        <v>0</v>
      </c>
      <c r="I11">
        <v>270</v>
      </c>
      <c r="J11">
        <v>0</v>
      </c>
      <c r="K11">
        <v>0</v>
      </c>
      <c r="N11" t="s">
        <v>41</v>
      </c>
      <c r="O11">
        <f>VLOOKUP(P5,法师!B1:K56,3,FALSE)</f>
        <v>3000</v>
      </c>
      <c r="P11">
        <f>VLOOKUP(P5,法师!B1:K56,4,FALSE)</f>
        <v>0</v>
      </c>
      <c r="Q11">
        <f>VLOOKUP(P5,法师!B1:K56,5,FALSE)</f>
        <v>0</v>
      </c>
      <c r="R11">
        <f>VLOOKUP(P5,法师!B1:K56,6,FALSE)</f>
        <v>0</v>
      </c>
      <c r="S11">
        <f>VLOOKUP(P5,法师!B1:K56,7,FALSE)</f>
        <v>0</v>
      </c>
      <c r="T11">
        <f>VLOOKUP(P5,法师!B1:K56,8,FALSE)</f>
        <v>0</v>
      </c>
      <c r="U11">
        <f>VLOOKUP(P5,法师!B1:K56,9,FALSE)</f>
        <v>0</v>
      </c>
      <c r="V11">
        <f>VLOOKUP(P5,法师!B1:K56,10,FALSE)</f>
        <v>0</v>
      </c>
    </row>
    <row r="12" spans="1:22">
      <c r="A12" t="s">
        <v>36</v>
      </c>
      <c r="B12" t="s">
        <v>61</v>
      </c>
      <c r="C12">
        <v>10</v>
      </c>
      <c r="D12">
        <v>0</v>
      </c>
      <c r="E12">
        <v>0</v>
      </c>
      <c r="F12">
        <v>0</v>
      </c>
      <c r="G12">
        <v>1000</v>
      </c>
      <c r="H12">
        <v>0</v>
      </c>
      <c r="I12">
        <v>300</v>
      </c>
      <c r="J12">
        <v>0</v>
      </c>
      <c r="K12">
        <v>0</v>
      </c>
      <c r="N12" t="s">
        <v>69</v>
      </c>
      <c r="O12">
        <f>VLOOKUP(Q5,法师!B1:K56,3,FALSE)</f>
        <v>0</v>
      </c>
      <c r="P12">
        <f>VLOOKUP(Q5,法师!B1:K56,4,FALSE)</f>
        <v>0</v>
      </c>
      <c r="Q12">
        <f>VLOOKUP(Q5,法师!B1:K56,5,FALSE)</f>
        <v>450</v>
      </c>
      <c r="R12">
        <f>VLOOKUP(Q5,法师!B1:K56,6,FALSE)</f>
        <v>0</v>
      </c>
      <c r="S12">
        <f>VLOOKUP(Q5,法师!B1:K56,7,FALSE)</f>
        <v>0</v>
      </c>
      <c r="T12">
        <f>VLOOKUP(Q5,法师!B1:K56,8,FALSE)</f>
        <v>0</v>
      </c>
      <c r="U12">
        <f>VLOOKUP(Q5,法师!B1:K56,9,FALSE)</f>
        <v>0</v>
      </c>
      <c r="V12">
        <f>VLOOKUP(Q5,法师!B1:K56,10,FALSE)</f>
        <v>0</v>
      </c>
    </row>
    <row r="13" spans="1:22">
      <c r="A13" t="s">
        <v>36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N13" t="s">
        <v>70</v>
      </c>
      <c r="O13">
        <f>VLOOKUP(R5,法师!B1:K56,3,FALSE)</f>
        <v>0</v>
      </c>
      <c r="P13">
        <f>VLOOKUP(R5,法师!B1:K56,4,FALSE)</f>
        <v>0</v>
      </c>
      <c r="Q13">
        <f>VLOOKUP(R5,法师!B1:K56,5,FALSE)</f>
        <v>0</v>
      </c>
      <c r="R13">
        <f>VLOOKUP(R5,法师!B1:K56,6,FALSE)</f>
        <v>0</v>
      </c>
      <c r="S13">
        <f>VLOOKUP(R5,法师!B1:K56,7,FALSE)</f>
        <v>750</v>
      </c>
      <c r="T13">
        <f>VLOOKUP(R5,法师!B1:K56,8,FALSE)</f>
        <v>0</v>
      </c>
      <c r="U13">
        <f>VLOOKUP(R5,法师!B1:K56,9,FALSE)</f>
        <v>160</v>
      </c>
      <c r="V13">
        <f>VLOOKUP(R5,法师!B1:K56,10,FALSE)</f>
        <v>0</v>
      </c>
    </row>
    <row r="14" spans="1:22">
      <c r="A14" t="s">
        <v>36</v>
      </c>
      <c r="B14" t="s">
        <v>83</v>
      </c>
      <c r="C14">
        <v>1</v>
      </c>
      <c r="D14">
        <v>300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N14" t="s">
        <v>53</v>
      </c>
      <c r="O14">
        <f>VLOOKUP(S5,法师!B1:K56,3,FALSE)</f>
        <v>0</v>
      </c>
      <c r="P14">
        <f>VLOOKUP(S5,法师!B1:K56,4,FALSE)</f>
        <v>0</v>
      </c>
      <c r="Q14">
        <f>VLOOKUP(S5,法师!B1:K56,5,FALSE)</f>
        <v>0</v>
      </c>
      <c r="R14">
        <f>VLOOKUP(S5,法师!B1:K56,6,FALSE)</f>
        <v>100</v>
      </c>
      <c r="S14">
        <f>VLOOKUP(S5,法师!B1:K56,7,FALSE)</f>
        <v>0</v>
      </c>
      <c r="T14">
        <f>VLOOKUP(S5,法师!B1:K56,8,FALSE)</f>
        <v>0</v>
      </c>
      <c r="U14">
        <f>VLOOKUP(S5,法师!B1:K56,9,FALSE)</f>
        <v>0</v>
      </c>
      <c r="V14">
        <f>VLOOKUP(S5,法师!B1:K56,10,FALSE)</f>
        <v>160</v>
      </c>
    </row>
    <row r="15" spans="1:22">
      <c r="A15" t="s">
        <v>36</v>
      </c>
      <c r="B15" t="s">
        <v>95</v>
      </c>
      <c r="C15">
        <v>2</v>
      </c>
      <c r="D15">
        <v>600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22">
      <c r="A16" t="s">
        <v>36</v>
      </c>
      <c r="B16" t="s">
        <v>96</v>
      </c>
      <c r="C16">
        <v>3</v>
      </c>
      <c r="D16">
        <v>900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>
      <c r="A17" t="s">
        <v>36</v>
      </c>
      <c r="B17" t="s">
        <v>97</v>
      </c>
      <c r="C17">
        <v>4</v>
      </c>
      <c r="D17">
        <v>1200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36</v>
      </c>
      <c r="B18" t="s">
        <v>98</v>
      </c>
      <c r="C18">
        <v>5</v>
      </c>
      <c r="D18">
        <v>1500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>
      <c r="A19" t="s">
        <v>36</v>
      </c>
      <c r="B19" t="s">
        <v>99</v>
      </c>
      <c r="C19">
        <v>6</v>
      </c>
      <c r="D19">
        <v>1800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>
      <c r="A20" t="s">
        <v>36</v>
      </c>
      <c r="B20" t="s">
        <v>100</v>
      </c>
      <c r="C20">
        <v>7</v>
      </c>
      <c r="D20">
        <v>2100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>
      <c r="A21" t="s">
        <v>36</v>
      </c>
      <c r="B21" t="s">
        <v>101</v>
      </c>
      <c r="C21">
        <v>8</v>
      </c>
      <c r="D21">
        <v>2400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>
      <c r="A22" t="s">
        <v>36</v>
      </c>
      <c r="B22" t="s">
        <v>102</v>
      </c>
      <c r="C22">
        <v>9</v>
      </c>
      <c r="D22">
        <v>2700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36</v>
      </c>
      <c r="B23" t="s">
        <v>62</v>
      </c>
      <c r="C23">
        <v>10</v>
      </c>
      <c r="D23">
        <v>3000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>
      <c r="A24" t="s">
        <v>36</v>
      </c>
      <c r="B24" t="s">
        <v>76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36</v>
      </c>
      <c r="B25" t="s">
        <v>84</v>
      </c>
      <c r="C25">
        <v>1</v>
      </c>
      <c r="D25">
        <v>0</v>
      </c>
      <c r="E25">
        <v>0</v>
      </c>
      <c r="F25">
        <v>45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>
      <c r="A26" t="s">
        <v>36</v>
      </c>
      <c r="B26" t="s">
        <v>103</v>
      </c>
      <c r="C26">
        <v>2</v>
      </c>
      <c r="D26">
        <v>0</v>
      </c>
      <c r="E26">
        <v>0</v>
      </c>
      <c r="F26">
        <v>90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>
      <c r="A27" t="s">
        <v>36</v>
      </c>
      <c r="B27" t="s">
        <v>104</v>
      </c>
      <c r="C27">
        <v>3</v>
      </c>
      <c r="D27">
        <v>0</v>
      </c>
      <c r="E27">
        <v>0</v>
      </c>
      <c r="F27">
        <v>135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>
      <c r="A28" t="s">
        <v>36</v>
      </c>
      <c r="B28" t="s">
        <v>105</v>
      </c>
      <c r="C28">
        <v>4</v>
      </c>
      <c r="D28">
        <v>0</v>
      </c>
      <c r="E28">
        <v>0</v>
      </c>
      <c r="F28">
        <v>180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>
      <c r="A29" t="s">
        <v>36</v>
      </c>
      <c r="B29" t="s">
        <v>106</v>
      </c>
      <c r="C29">
        <v>5</v>
      </c>
      <c r="D29">
        <v>0</v>
      </c>
      <c r="E29">
        <v>0</v>
      </c>
      <c r="F29">
        <v>225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>
      <c r="A30" t="s">
        <v>36</v>
      </c>
      <c r="B30" t="s">
        <v>107</v>
      </c>
      <c r="C30">
        <v>6</v>
      </c>
      <c r="D30">
        <v>0</v>
      </c>
      <c r="E30">
        <v>0</v>
      </c>
      <c r="F30">
        <v>270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>
      <c r="A31" t="s">
        <v>36</v>
      </c>
      <c r="B31" t="s">
        <v>108</v>
      </c>
      <c r="C31">
        <v>7</v>
      </c>
      <c r="D31">
        <v>0</v>
      </c>
      <c r="E31">
        <v>0</v>
      </c>
      <c r="F31">
        <v>315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>
      <c r="A32" t="s">
        <v>36</v>
      </c>
      <c r="B32" t="s">
        <v>109</v>
      </c>
      <c r="C32">
        <v>8</v>
      </c>
      <c r="D32">
        <v>0</v>
      </c>
      <c r="E32">
        <v>0</v>
      </c>
      <c r="F32">
        <v>360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 t="s">
        <v>36</v>
      </c>
      <c r="B33" t="s">
        <v>110</v>
      </c>
      <c r="C33">
        <v>9</v>
      </c>
      <c r="D33">
        <v>0</v>
      </c>
      <c r="E33">
        <v>0</v>
      </c>
      <c r="F33">
        <v>405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 t="s">
        <v>36</v>
      </c>
      <c r="B34" t="s">
        <v>63</v>
      </c>
      <c r="C34">
        <v>10</v>
      </c>
      <c r="D34">
        <v>0</v>
      </c>
      <c r="E34">
        <v>0</v>
      </c>
      <c r="F34">
        <v>450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 t="s">
        <v>36</v>
      </c>
      <c r="B35" t="s">
        <v>76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 t="s">
        <v>36</v>
      </c>
      <c r="B36" t="s">
        <v>85</v>
      </c>
      <c r="C36">
        <v>1</v>
      </c>
      <c r="D36">
        <v>0</v>
      </c>
      <c r="E36">
        <v>0</v>
      </c>
      <c r="F36">
        <v>0</v>
      </c>
      <c r="G36">
        <v>0</v>
      </c>
      <c r="H36">
        <v>75</v>
      </c>
      <c r="I36">
        <v>0</v>
      </c>
      <c r="J36">
        <v>16</v>
      </c>
      <c r="K36">
        <v>0</v>
      </c>
    </row>
    <row r="37" spans="1:11">
      <c r="A37" t="s">
        <v>36</v>
      </c>
      <c r="B37" t="s">
        <v>111</v>
      </c>
      <c r="C37">
        <v>2</v>
      </c>
      <c r="D37">
        <v>0</v>
      </c>
      <c r="E37">
        <v>0</v>
      </c>
      <c r="F37">
        <v>0</v>
      </c>
      <c r="G37">
        <v>0</v>
      </c>
      <c r="H37">
        <v>150</v>
      </c>
      <c r="I37">
        <v>0</v>
      </c>
      <c r="J37">
        <v>32</v>
      </c>
      <c r="K37">
        <v>0</v>
      </c>
    </row>
    <row r="38" spans="1:11">
      <c r="A38" t="s">
        <v>36</v>
      </c>
      <c r="B38" t="s">
        <v>112</v>
      </c>
      <c r="C38">
        <v>3</v>
      </c>
      <c r="D38">
        <v>0</v>
      </c>
      <c r="E38">
        <v>0</v>
      </c>
      <c r="F38">
        <v>0</v>
      </c>
      <c r="G38">
        <v>0</v>
      </c>
      <c r="H38">
        <v>225</v>
      </c>
      <c r="I38">
        <v>0</v>
      </c>
      <c r="J38">
        <v>48</v>
      </c>
      <c r="K38">
        <v>0</v>
      </c>
    </row>
    <row r="39" spans="1:11">
      <c r="A39" t="s">
        <v>36</v>
      </c>
      <c r="B39" t="s">
        <v>113</v>
      </c>
      <c r="C39">
        <v>4</v>
      </c>
      <c r="D39">
        <v>0</v>
      </c>
      <c r="E39">
        <v>0</v>
      </c>
      <c r="F39">
        <v>0</v>
      </c>
      <c r="G39">
        <v>0</v>
      </c>
      <c r="H39">
        <v>300</v>
      </c>
      <c r="I39">
        <v>0</v>
      </c>
      <c r="J39">
        <v>64</v>
      </c>
      <c r="K39">
        <v>0</v>
      </c>
    </row>
    <row r="40" spans="1:11">
      <c r="A40" t="s">
        <v>36</v>
      </c>
      <c r="B40" t="s">
        <v>114</v>
      </c>
      <c r="C40">
        <v>5</v>
      </c>
      <c r="D40">
        <v>0</v>
      </c>
      <c r="E40">
        <v>0</v>
      </c>
      <c r="F40">
        <v>0</v>
      </c>
      <c r="G40">
        <v>0</v>
      </c>
      <c r="H40">
        <v>375</v>
      </c>
      <c r="I40">
        <v>0</v>
      </c>
      <c r="J40">
        <v>80</v>
      </c>
      <c r="K40">
        <v>0</v>
      </c>
    </row>
    <row r="41" spans="1:11">
      <c r="A41" t="s">
        <v>36</v>
      </c>
      <c r="B41" t="s">
        <v>115</v>
      </c>
      <c r="C41">
        <v>6</v>
      </c>
      <c r="D41">
        <v>0</v>
      </c>
      <c r="E41">
        <v>0</v>
      </c>
      <c r="F41">
        <v>0</v>
      </c>
      <c r="G41">
        <v>0</v>
      </c>
      <c r="H41">
        <v>450</v>
      </c>
      <c r="I41">
        <v>0</v>
      </c>
      <c r="J41">
        <v>96</v>
      </c>
      <c r="K41">
        <v>0</v>
      </c>
    </row>
    <row r="42" spans="1:11">
      <c r="A42" t="s">
        <v>36</v>
      </c>
      <c r="B42" t="s">
        <v>116</v>
      </c>
      <c r="C42">
        <v>7</v>
      </c>
      <c r="D42">
        <v>0</v>
      </c>
      <c r="E42">
        <v>0</v>
      </c>
      <c r="F42">
        <v>0</v>
      </c>
      <c r="G42">
        <v>0</v>
      </c>
      <c r="H42">
        <v>525</v>
      </c>
      <c r="I42">
        <v>0</v>
      </c>
      <c r="J42">
        <v>112</v>
      </c>
      <c r="K42">
        <v>0</v>
      </c>
    </row>
    <row r="43" spans="1:11">
      <c r="A43" t="s">
        <v>36</v>
      </c>
      <c r="B43" t="s">
        <v>117</v>
      </c>
      <c r="C43">
        <v>8</v>
      </c>
      <c r="D43">
        <v>0</v>
      </c>
      <c r="E43">
        <v>0</v>
      </c>
      <c r="F43">
        <v>0</v>
      </c>
      <c r="G43">
        <v>0</v>
      </c>
      <c r="H43">
        <v>600</v>
      </c>
      <c r="I43">
        <v>0</v>
      </c>
      <c r="J43">
        <v>128</v>
      </c>
      <c r="K43">
        <v>0</v>
      </c>
    </row>
    <row r="44" spans="1:11">
      <c r="A44" t="s">
        <v>36</v>
      </c>
      <c r="B44" t="s">
        <v>118</v>
      </c>
      <c r="C44">
        <v>9</v>
      </c>
      <c r="D44">
        <v>0</v>
      </c>
      <c r="E44">
        <v>0</v>
      </c>
      <c r="F44">
        <v>0</v>
      </c>
      <c r="G44">
        <v>0</v>
      </c>
      <c r="H44">
        <v>675</v>
      </c>
      <c r="I44">
        <v>0</v>
      </c>
      <c r="J44">
        <v>144</v>
      </c>
      <c r="K44">
        <v>0</v>
      </c>
    </row>
    <row r="45" spans="1:11">
      <c r="A45" t="s">
        <v>36</v>
      </c>
      <c r="B45" t="s">
        <v>64</v>
      </c>
      <c r="C45">
        <v>10</v>
      </c>
      <c r="D45">
        <v>0</v>
      </c>
      <c r="E45">
        <v>0</v>
      </c>
      <c r="F45">
        <v>0</v>
      </c>
      <c r="G45">
        <v>0</v>
      </c>
      <c r="H45">
        <v>750</v>
      </c>
      <c r="I45">
        <v>0</v>
      </c>
      <c r="J45">
        <v>160</v>
      </c>
      <c r="K45">
        <v>0</v>
      </c>
    </row>
    <row r="46" spans="1:11">
      <c r="A46" t="s">
        <v>36</v>
      </c>
      <c r="B46" t="s">
        <v>76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>
      <c r="A47" t="s">
        <v>36</v>
      </c>
      <c r="B47" t="s">
        <v>86</v>
      </c>
      <c r="C47">
        <v>1</v>
      </c>
      <c r="D47">
        <v>0</v>
      </c>
      <c r="E47">
        <v>0</v>
      </c>
      <c r="F47">
        <v>0</v>
      </c>
      <c r="G47">
        <v>10</v>
      </c>
      <c r="H47">
        <v>0</v>
      </c>
      <c r="I47">
        <v>0</v>
      </c>
      <c r="J47">
        <v>0</v>
      </c>
      <c r="K47">
        <v>16</v>
      </c>
    </row>
    <row r="48" spans="1:11">
      <c r="A48" t="s">
        <v>36</v>
      </c>
      <c r="B48" t="s">
        <v>119</v>
      </c>
      <c r="C48">
        <v>2</v>
      </c>
      <c r="D48">
        <v>0</v>
      </c>
      <c r="E48">
        <v>0</v>
      </c>
      <c r="F48">
        <v>0</v>
      </c>
      <c r="G48">
        <v>20</v>
      </c>
      <c r="H48">
        <v>0</v>
      </c>
      <c r="I48">
        <v>0</v>
      </c>
      <c r="J48">
        <v>0</v>
      </c>
      <c r="K48">
        <v>32</v>
      </c>
    </row>
    <row r="49" spans="1:11">
      <c r="A49" t="s">
        <v>36</v>
      </c>
      <c r="B49" t="s">
        <v>120</v>
      </c>
      <c r="C49">
        <v>3</v>
      </c>
      <c r="D49">
        <v>0</v>
      </c>
      <c r="E49">
        <v>0</v>
      </c>
      <c r="F49">
        <v>0</v>
      </c>
      <c r="G49">
        <v>30</v>
      </c>
      <c r="H49">
        <v>0</v>
      </c>
      <c r="I49">
        <v>0</v>
      </c>
      <c r="J49">
        <v>0</v>
      </c>
      <c r="K49">
        <v>48</v>
      </c>
    </row>
    <row r="50" spans="1:11">
      <c r="A50" t="s">
        <v>36</v>
      </c>
      <c r="B50" t="s">
        <v>121</v>
      </c>
      <c r="C50">
        <v>4</v>
      </c>
      <c r="D50">
        <v>0</v>
      </c>
      <c r="E50">
        <v>0</v>
      </c>
      <c r="F50">
        <v>0</v>
      </c>
      <c r="G50">
        <v>40</v>
      </c>
      <c r="H50">
        <v>0</v>
      </c>
      <c r="I50">
        <v>0</v>
      </c>
      <c r="J50">
        <v>0</v>
      </c>
      <c r="K50">
        <v>64</v>
      </c>
    </row>
    <row r="51" spans="1:11">
      <c r="A51" t="s">
        <v>36</v>
      </c>
      <c r="B51" t="s">
        <v>122</v>
      </c>
      <c r="C51">
        <v>5</v>
      </c>
      <c r="D51">
        <v>0</v>
      </c>
      <c r="E51">
        <v>0</v>
      </c>
      <c r="F51">
        <v>0</v>
      </c>
      <c r="G51">
        <v>50</v>
      </c>
      <c r="H51">
        <v>0</v>
      </c>
      <c r="I51">
        <v>0</v>
      </c>
      <c r="J51">
        <v>0</v>
      </c>
      <c r="K51">
        <v>80</v>
      </c>
    </row>
    <row r="52" spans="1:11">
      <c r="A52" t="s">
        <v>36</v>
      </c>
      <c r="B52" t="s">
        <v>123</v>
      </c>
      <c r="C52">
        <v>6</v>
      </c>
      <c r="D52">
        <v>0</v>
      </c>
      <c r="E52">
        <v>0</v>
      </c>
      <c r="F52">
        <v>0</v>
      </c>
      <c r="G52">
        <v>60</v>
      </c>
      <c r="H52">
        <v>0</v>
      </c>
      <c r="I52">
        <v>0</v>
      </c>
      <c r="J52">
        <v>0</v>
      </c>
      <c r="K52">
        <v>96</v>
      </c>
    </row>
    <row r="53" spans="1:11">
      <c r="A53" t="s">
        <v>36</v>
      </c>
      <c r="B53" t="s">
        <v>124</v>
      </c>
      <c r="C53">
        <v>7</v>
      </c>
      <c r="D53">
        <v>0</v>
      </c>
      <c r="E53">
        <v>0</v>
      </c>
      <c r="F53">
        <v>0</v>
      </c>
      <c r="G53">
        <v>70</v>
      </c>
      <c r="H53">
        <v>0</v>
      </c>
      <c r="I53">
        <v>0</v>
      </c>
      <c r="J53">
        <v>0</v>
      </c>
      <c r="K53">
        <v>112</v>
      </c>
    </row>
    <row r="54" spans="1:11">
      <c r="A54" t="s">
        <v>36</v>
      </c>
      <c r="B54" t="s">
        <v>125</v>
      </c>
      <c r="C54">
        <v>8</v>
      </c>
      <c r="D54">
        <v>0</v>
      </c>
      <c r="E54">
        <v>0</v>
      </c>
      <c r="F54">
        <v>0</v>
      </c>
      <c r="G54">
        <v>80</v>
      </c>
      <c r="H54">
        <v>0</v>
      </c>
      <c r="I54">
        <v>0</v>
      </c>
      <c r="J54">
        <v>0</v>
      </c>
      <c r="K54">
        <v>128</v>
      </c>
    </row>
    <row r="55" spans="1:11">
      <c r="A55" t="s">
        <v>36</v>
      </c>
      <c r="B55" t="s">
        <v>126</v>
      </c>
      <c r="C55">
        <v>9</v>
      </c>
      <c r="D55">
        <v>0</v>
      </c>
      <c r="E55">
        <v>0</v>
      </c>
      <c r="F55">
        <v>0</v>
      </c>
      <c r="G55">
        <v>90</v>
      </c>
      <c r="H55">
        <v>0</v>
      </c>
      <c r="I55">
        <v>0</v>
      </c>
      <c r="J55">
        <v>0</v>
      </c>
      <c r="K55">
        <v>144</v>
      </c>
    </row>
    <row r="56" spans="1:11">
      <c r="A56" t="s">
        <v>36</v>
      </c>
      <c r="B56" t="s">
        <v>65</v>
      </c>
      <c r="C56">
        <v>10</v>
      </c>
      <c r="D56">
        <v>0</v>
      </c>
      <c r="E56">
        <v>0</v>
      </c>
      <c r="F56">
        <v>0</v>
      </c>
      <c r="G56">
        <v>100</v>
      </c>
      <c r="H56">
        <v>0</v>
      </c>
      <c r="I56">
        <v>0</v>
      </c>
      <c r="J56">
        <v>0</v>
      </c>
      <c r="K56">
        <v>160</v>
      </c>
    </row>
  </sheetData>
  <phoneticPr fontId="1" type="noConversion"/>
  <dataValidations count="5">
    <dataValidation type="list" allowBlank="1" showInputMessage="1" showErrorMessage="1" sqref="S5">
      <formula1>$B$46:$B$56</formula1>
    </dataValidation>
    <dataValidation type="list" allowBlank="1" showInputMessage="1" showErrorMessage="1" sqref="R5">
      <formula1>$B$35:$B$45</formula1>
    </dataValidation>
    <dataValidation type="list" allowBlank="1" showInputMessage="1" showErrorMessage="1" sqref="Q5">
      <formula1>$B$24:$B$34</formula1>
    </dataValidation>
    <dataValidation type="list" allowBlank="1" showInputMessage="1" showErrorMessage="1" sqref="P5">
      <formula1>$B$13:$B$23</formula1>
    </dataValidation>
    <dataValidation type="list" allowBlank="1" showInputMessage="1" showErrorMessage="1" sqref="O5">
      <formula1>$B$2:$B$12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J21"/>
  <sheetViews>
    <sheetView workbookViewId="0">
      <selection activeCell="J27" sqref="J27"/>
    </sheetView>
  </sheetViews>
  <sheetFormatPr defaultRowHeight="13.5"/>
  <sheetData>
    <row r="2" spans="1:10" ht="12.75" customHeight="1"/>
    <row r="3" spans="1:10">
      <c r="A3" t="s">
        <v>0</v>
      </c>
      <c r="B3">
        <v>100</v>
      </c>
      <c r="C3" t="s">
        <v>9</v>
      </c>
      <c r="D3" t="s">
        <v>8</v>
      </c>
      <c r="E3" t="s">
        <v>10</v>
      </c>
      <c r="F3" t="s">
        <v>132</v>
      </c>
      <c r="G3" t="s">
        <v>12</v>
      </c>
      <c r="H3" t="s">
        <v>141</v>
      </c>
      <c r="I3" t="s">
        <v>143</v>
      </c>
      <c r="J3" t="s">
        <v>145</v>
      </c>
    </row>
    <row r="4" spans="1:10">
      <c r="A4" t="s">
        <v>133</v>
      </c>
      <c r="B4">
        <v>1</v>
      </c>
      <c r="C4">
        <v>50</v>
      </c>
      <c r="D4">
        <v>8</v>
      </c>
      <c r="E4">
        <v>2</v>
      </c>
      <c r="F4">
        <v>8</v>
      </c>
      <c r="G4">
        <v>2</v>
      </c>
      <c r="H4">
        <v>5</v>
      </c>
      <c r="I4">
        <v>1</v>
      </c>
      <c r="J4">
        <v>1</v>
      </c>
    </row>
    <row r="6" spans="1:10" ht="15.75" customHeight="1"/>
    <row r="7" spans="1:10" ht="15" customHeight="1">
      <c r="A7" s="1" t="s">
        <v>130</v>
      </c>
      <c r="B7" t="s">
        <v>134</v>
      </c>
    </row>
    <row r="8" spans="1:10">
      <c r="A8" s="1">
        <v>1</v>
      </c>
      <c r="B8">
        <v>1</v>
      </c>
    </row>
    <row r="9" spans="1:10">
      <c r="A9" s="1">
        <v>10</v>
      </c>
      <c r="B9">
        <v>5</v>
      </c>
    </row>
    <row r="10" spans="1:10">
      <c r="A10" s="1">
        <v>20</v>
      </c>
      <c r="B10">
        <v>50</v>
      </c>
    </row>
    <row r="11" spans="1:10">
      <c r="A11" s="1">
        <v>30</v>
      </c>
      <c r="B11">
        <v>100</v>
      </c>
    </row>
    <row r="12" spans="1:10">
      <c r="A12" s="1">
        <v>40</v>
      </c>
      <c r="B12">
        <v>250</v>
      </c>
    </row>
    <row r="13" spans="1:10">
      <c r="A13" s="1">
        <v>50</v>
      </c>
      <c r="B13">
        <v>450</v>
      </c>
    </row>
    <row r="14" spans="1:10">
      <c r="A14" s="1">
        <v>60</v>
      </c>
      <c r="B14">
        <v>700</v>
      </c>
    </row>
    <row r="15" spans="1:10">
      <c r="A15" s="1">
        <v>70</v>
      </c>
      <c r="B15">
        <v>1000</v>
      </c>
    </row>
    <row r="16" spans="1:10">
      <c r="A16" s="1">
        <v>80</v>
      </c>
      <c r="B16">
        <v>1350</v>
      </c>
    </row>
    <row r="17" spans="1:4">
      <c r="A17" s="1">
        <v>90</v>
      </c>
      <c r="B17">
        <v>1600</v>
      </c>
    </row>
    <row r="18" spans="1:4">
      <c r="A18" s="1">
        <v>100</v>
      </c>
      <c r="B18">
        <v>1800</v>
      </c>
    </row>
    <row r="20" spans="1:4">
      <c r="D20" t="s">
        <v>131</v>
      </c>
    </row>
    <row r="21" spans="1:4">
      <c r="D21" s="1">
        <v>100</v>
      </c>
    </row>
  </sheetData>
  <phoneticPr fontId="1" type="noConversion"/>
  <pageMargins left="0.7" right="0.7" top="0.75" bottom="0.75" header="0.3" footer="0.3"/>
  <legacyDrawing r:id="rId1"/>
  <controls>
    <control shapeId="4098" r:id="rId2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J101"/>
  <sheetViews>
    <sheetView topLeftCell="A73" workbookViewId="0">
      <selection activeCell="E127" sqref="E127"/>
    </sheetView>
  </sheetViews>
  <sheetFormatPr defaultRowHeight="13.5"/>
  <sheetData>
    <row r="1" spans="1:10">
      <c r="A1" t="s">
        <v>44</v>
      </c>
      <c r="B1" t="s">
        <v>39</v>
      </c>
      <c r="C1" t="s">
        <v>78</v>
      </c>
      <c r="D1" t="s">
        <v>54</v>
      </c>
      <c r="E1" t="s">
        <v>48</v>
      </c>
      <c r="F1" t="s">
        <v>56</v>
      </c>
      <c r="G1" t="s">
        <v>50</v>
      </c>
      <c r="H1" t="s">
        <v>140</v>
      </c>
      <c r="I1" t="s">
        <v>142</v>
      </c>
      <c r="J1" t="s">
        <v>144</v>
      </c>
    </row>
    <row r="2" spans="1:10">
      <c r="A2" t="s">
        <v>128</v>
      </c>
      <c r="B2">
        <v>1</v>
      </c>
      <c r="C2">
        <v>51</v>
      </c>
      <c r="D2">
        <v>9</v>
      </c>
      <c r="E2">
        <v>3</v>
      </c>
      <c r="F2">
        <v>9</v>
      </c>
      <c r="G2">
        <v>3</v>
      </c>
      <c r="H2">
        <v>5</v>
      </c>
      <c r="I2">
        <v>1</v>
      </c>
      <c r="J2">
        <v>1</v>
      </c>
    </row>
    <row r="3" spans="1:10">
      <c r="A3" t="s">
        <v>128</v>
      </c>
      <c r="B3">
        <v>2</v>
      </c>
      <c r="C3">
        <v>101</v>
      </c>
      <c r="D3">
        <v>17</v>
      </c>
      <c r="E3">
        <v>5</v>
      </c>
      <c r="F3">
        <v>17</v>
      </c>
      <c r="G3">
        <v>5</v>
      </c>
      <c r="H3">
        <v>10</v>
      </c>
      <c r="I3">
        <v>2</v>
      </c>
      <c r="J3">
        <v>2</v>
      </c>
    </row>
    <row r="4" spans="1:10">
      <c r="A4" t="s">
        <v>128</v>
      </c>
      <c r="B4">
        <v>3</v>
      </c>
      <c r="C4">
        <v>151</v>
      </c>
      <c r="D4">
        <v>25</v>
      </c>
      <c r="E4">
        <v>7</v>
      </c>
      <c r="F4">
        <v>25</v>
      </c>
      <c r="G4">
        <v>7</v>
      </c>
      <c r="H4">
        <v>15</v>
      </c>
      <c r="I4">
        <v>3</v>
      </c>
      <c r="J4">
        <v>3</v>
      </c>
    </row>
    <row r="5" spans="1:10">
      <c r="A5" t="s">
        <v>128</v>
      </c>
      <c r="B5">
        <v>4</v>
      </c>
      <c r="C5">
        <v>201</v>
      </c>
      <c r="D5">
        <v>33</v>
      </c>
      <c r="E5">
        <v>9</v>
      </c>
      <c r="F5">
        <v>33</v>
      </c>
      <c r="G5">
        <v>9</v>
      </c>
      <c r="H5">
        <v>20</v>
      </c>
      <c r="I5">
        <v>4</v>
      </c>
      <c r="J5">
        <v>4</v>
      </c>
    </row>
    <row r="6" spans="1:10">
      <c r="A6" t="s">
        <v>128</v>
      </c>
      <c r="B6">
        <v>5</v>
      </c>
      <c r="C6">
        <v>251</v>
      </c>
      <c r="D6">
        <v>41</v>
      </c>
      <c r="E6">
        <v>11</v>
      </c>
      <c r="F6">
        <v>41</v>
      </c>
      <c r="G6">
        <v>11</v>
      </c>
      <c r="H6">
        <v>25</v>
      </c>
      <c r="I6">
        <v>5</v>
      </c>
      <c r="J6">
        <v>5</v>
      </c>
    </row>
    <row r="7" spans="1:10">
      <c r="A7" t="s">
        <v>128</v>
      </c>
      <c r="B7">
        <v>6</v>
      </c>
      <c r="C7">
        <v>301</v>
      </c>
      <c r="D7">
        <v>49</v>
      </c>
      <c r="E7">
        <v>13</v>
      </c>
      <c r="F7">
        <v>49</v>
      </c>
      <c r="G7">
        <v>13</v>
      </c>
      <c r="H7">
        <v>30</v>
      </c>
      <c r="I7">
        <v>6</v>
      </c>
      <c r="J7">
        <v>6</v>
      </c>
    </row>
    <row r="8" spans="1:10">
      <c r="A8" t="s">
        <v>128</v>
      </c>
      <c r="B8">
        <v>7</v>
      </c>
      <c r="C8">
        <v>351</v>
      </c>
      <c r="D8">
        <v>57</v>
      </c>
      <c r="E8">
        <v>15</v>
      </c>
      <c r="F8">
        <v>57</v>
      </c>
      <c r="G8">
        <v>15</v>
      </c>
      <c r="H8">
        <v>35</v>
      </c>
      <c r="I8">
        <v>7</v>
      </c>
      <c r="J8">
        <v>7</v>
      </c>
    </row>
    <row r="9" spans="1:10">
      <c r="A9" t="s">
        <v>128</v>
      </c>
      <c r="B9">
        <v>8</v>
      </c>
      <c r="C9">
        <v>401</v>
      </c>
      <c r="D9">
        <v>65</v>
      </c>
      <c r="E9">
        <v>17</v>
      </c>
      <c r="F9">
        <v>65</v>
      </c>
      <c r="G9">
        <v>17</v>
      </c>
      <c r="H9">
        <v>40</v>
      </c>
      <c r="I9">
        <v>8</v>
      </c>
      <c r="J9">
        <v>8</v>
      </c>
    </row>
    <row r="10" spans="1:10">
      <c r="A10" t="s">
        <v>128</v>
      </c>
      <c r="B10">
        <v>9</v>
      </c>
      <c r="C10">
        <v>451</v>
      </c>
      <c r="D10">
        <v>73</v>
      </c>
      <c r="E10">
        <v>19</v>
      </c>
      <c r="F10">
        <v>73</v>
      </c>
      <c r="G10">
        <v>19</v>
      </c>
      <c r="H10">
        <v>45</v>
      </c>
      <c r="I10">
        <v>9</v>
      </c>
      <c r="J10">
        <v>9</v>
      </c>
    </row>
    <row r="11" spans="1:10">
      <c r="A11" t="s">
        <v>128</v>
      </c>
      <c r="B11">
        <v>10</v>
      </c>
      <c r="C11">
        <v>505</v>
      </c>
      <c r="D11">
        <v>85</v>
      </c>
      <c r="E11">
        <v>25</v>
      </c>
      <c r="F11">
        <v>85</v>
      </c>
      <c r="G11">
        <v>25</v>
      </c>
      <c r="H11">
        <v>50</v>
      </c>
      <c r="I11">
        <v>10</v>
      </c>
      <c r="J11">
        <v>10</v>
      </c>
    </row>
    <row r="12" spans="1:10">
      <c r="A12" t="s">
        <v>128</v>
      </c>
      <c r="B12">
        <v>11</v>
      </c>
      <c r="C12">
        <v>555</v>
      </c>
      <c r="D12">
        <v>93</v>
      </c>
      <c r="E12">
        <v>27</v>
      </c>
      <c r="F12">
        <v>93</v>
      </c>
      <c r="G12">
        <v>27</v>
      </c>
      <c r="H12">
        <v>55</v>
      </c>
      <c r="I12">
        <v>11</v>
      </c>
      <c r="J12">
        <v>11</v>
      </c>
    </row>
    <row r="13" spans="1:10">
      <c r="A13" t="s">
        <v>128</v>
      </c>
      <c r="B13">
        <v>12</v>
      </c>
      <c r="C13">
        <v>605</v>
      </c>
      <c r="D13">
        <v>101</v>
      </c>
      <c r="E13">
        <v>29</v>
      </c>
      <c r="F13">
        <v>101</v>
      </c>
      <c r="G13">
        <v>29</v>
      </c>
      <c r="H13">
        <v>60</v>
      </c>
      <c r="I13">
        <v>12</v>
      </c>
      <c r="J13">
        <v>12</v>
      </c>
    </row>
    <row r="14" spans="1:10">
      <c r="A14" t="s">
        <v>128</v>
      </c>
      <c r="B14">
        <v>13</v>
      </c>
      <c r="C14">
        <v>655</v>
      </c>
      <c r="D14">
        <v>109</v>
      </c>
      <c r="E14">
        <v>31</v>
      </c>
      <c r="F14">
        <v>109</v>
      </c>
      <c r="G14">
        <v>31</v>
      </c>
      <c r="H14">
        <v>65</v>
      </c>
      <c r="I14">
        <v>13</v>
      </c>
      <c r="J14">
        <v>13</v>
      </c>
    </row>
    <row r="15" spans="1:10">
      <c r="A15" t="s">
        <v>128</v>
      </c>
      <c r="B15">
        <v>14</v>
      </c>
      <c r="C15">
        <v>705</v>
      </c>
      <c r="D15">
        <v>117</v>
      </c>
      <c r="E15">
        <v>33</v>
      </c>
      <c r="F15">
        <v>117</v>
      </c>
      <c r="G15">
        <v>33</v>
      </c>
      <c r="H15">
        <v>70</v>
      </c>
      <c r="I15">
        <v>14</v>
      </c>
      <c r="J15">
        <v>14</v>
      </c>
    </row>
    <row r="16" spans="1:10">
      <c r="A16" t="s">
        <v>128</v>
      </c>
      <c r="B16">
        <v>15</v>
      </c>
      <c r="C16">
        <v>755</v>
      </c>
      <c r="D16">
        <v>125</v>
      </c>
      <c r="E16">
        <v>35</v>
      </c>
      <c r="F16">
        <v>125</v>
      </c>
      <c r="G16">
        <v>35</v>
      </c>
      <c r="H16">
        <v>75</v>
      </c>
      <c r="I16">
        <v>15</v>
      </c>
      <c r="J16">
        <v>15</v>
      </c>
    </row>
    <row r="17" spans="1:10">
      <c r="A17" t="s">
        <v>128</v>
      </c>
      <c r="B17">
        <v>16</v>
      </c>
      <c r="C17">
        <v>805</v>
      </c>
      <c r="D17">
        <v>133</v>
      </c>
      <c r="E17">
        <v>37</v>
      </c>
      <c r="F17">
        <v>133</v>
      </c>
      <c r="G17">
        <v>37</v>
      </c>
      <c r="H17">
        <v>80</v>
      </c>
      <c r="I17">
        <v>16</v>
      </c>
      <c r="J17">
        <v>16</v>
      </c>
    </row>
    <row r="18" spans="1:10">
      <c r="A18" t="s">
        <v>128</v>
      </c>
      <c r="B18">
        <v>17</v>
      </c>
      <c r="C18">
        <v>855</v>
      </c>
      <c r="D18">
        <v>141</v>
      </c>
      <c r="E18">
        <v>39</v>
      </c>
      <c r="F18">
        <v>141</v>
      </c>
      <c r="G18">
        <v>39</v>
      </c>
      <c r="H18">
        <v>85</v>
      </c>
      <c r="I18">
        <v>17</v>
      </c>
      <c r="J18">
        <v>17</v>
      </c>
    </row>
    <row r="19" spans="1:10">
      <c r="A19" t="s">
        <v>128</v>
      </c>
      <c r="B19">
        <v>18</v>
      </c>
      <c r="C19">
        <v>905</v>
      </c>
      <c r="D19">
        <v>149</v>
      </c>
      <c r="E19">
        <v>41</v>
      </c>
      <c r="F19">
        <v>149</v>
      </c>
      <c r="G19">
        <v>41</v>
      </c>
      <c r="H19">
        <v>90</v>
      </c>
      <c r="I19">
        <v>18</v>
      </c>
      <c r="J19">
        <v>18</v>
      </c>
    </row>
    <row r="20" spans="1:10">
      <c r="A20" t="s">
        <v>128</v>
      </c>
      <c r="B20">
        <v>19</v>
      </c>
      <c r="C20">
        <v>955</v>
      </c>
      <c r="D20">
        <v>157</v>
      </c>
      <c r="E20">
        <v>43</v>
      </c>
      <c r="F20">
        <v>157</v>
      </c>
      <c r="G20">
        <v>43</v>
      </c>
      <c r="H20">
        <v>95</v>
      </c>
      <c r="I20">
        <v>19</v>
      </c>
      <c r="J20">
        <v>19</v>
      </c>
    </row>
    <row r="21" spans="1:10">
      <c r="A21" t="s">
        <v>128</v>
      </c>
      <c r="B21">
        <v>20</v>
      </c>
      <c r="C21">
        <v>1050</v>
      </c>
      <c r="D21">
        <v>210</v>
      </c>
      <c r="E21">
        <v>90</v>
      </c>
      <c r="F21">
        <v>210</v>
      </c>
      <c r="G21">
        <v>90</v>
      </c>
      <c r="H21">
        <v>100</v>
      </c>
      <c r="I21">
        <v>20</v>
      </c>
      <c r="J21">
        <v>20</v>
      </c>
    </row>
    <row r="22" spans="1:10">
      <c r="A22" t="s">
        <v>128</v>
      </c>
      <c r="B22">
        <v>21</v>
      </c>
      <c r="C22">
        <v>1100</v>
      </c>
      <c r="D22">
        <v>218</v>
      </c>
      <c r="E22">
        <v>92</v>
      </c>
      <c r="F22">
        <v>218</v>
      </c>
      <c r="G22">
        <v>92</v>
      </c>
      <c r="H22">
        <v>105</v>
      </c>
      <c r="I22">
        <v>21</v>
      </c>
      <c r="J22">
        <v>21</v>
      </c>
    </row>
    <row r="23" spans="1:10">
      <c r="A23" t="s">
        <v>128</v>
      </c>
      <c r="B23">
        <v>22</v>
      </c>
      <c r="C23">
        <v>1150</v>
      </c>
      <c r="D23">
        <v>226</v>
      </c>
      <c r="E23">
        <v>94</v>
      </c>
      <c r="F23">
        <v>226</v>
      </c>
      <c r="G23">
        <v>94</v>
      </c>
      <c r="H23">
        <v>110</v>
      </c>
      <c r="I23">
        <v>22</v>
      </c>
      <c r="J23">
        <v>22</v>
      </c>
    </row>
    <row r="24" spans="1:10">
      <c r="A24" t="s">
        <v>128</v>
      </c>
      <c r="B24">
        <v>23</v>
      </c>
      <c r="C24">
        <v>1200</v>
      </c>
      <c r="D24">
        <v>234</v>
      </c>
      <c r="E24">
        <v>96</v>
      </c>
      <c r="F24">
        <v>234</v>
      </c>
      <c r="G24">
        <v>96</v>
      </c>
      <c r="H24">
        <v>115</v>
      </c>
      <c r="I24">
        <v>23</v>
      </c>
      <c r="J24">
        <v>23</v>
      </c>
    </row>
    <row r="25" spans="1:10">
      <c r="A25" t="s">
        <v>128</v>
      </c>
      <c r="B25">
        <v>24</v>
      </c>
      <c r="C25">
        <v>1250</v>
      </c>
      <c r="D25">
        <v>242</v>
      </c>
      <c r="E25">
        <v>98</v>
      </c>
      <c r="F25">
        <v>242</v>
      </c>
      <c r="G25">
        <v>98</v>
      </c>
      <c r="H25">
        <v>120</v>
      </c>
      <c r="I25">
        <v>24</v>
      </c>
      <c r="J25">
        <v>24</v>
      </c>
    </row>
    <row r="26" spans="1:10">
      <c r="A26" t="s">
        <v>128</v>
      </c>
      <c r="B26">
        <v>25</v>
      </c>
      <c r="C26">
        <v>1300</v>
      </c>
      <c r="D26">
        <v>250</v>
      </c>
      <c r="E26">
        <v>100</v>
      </c>
      <c r="F26">
        <v>250</v>
      </c>
      <c r="G26">
        <v>100</v>
      </c>
      <c r="H26">
        <v>125</v>
      </c>
      <c r="I26">
        <v>25</v>
      </c>
      <c r="J26">
        <v>25</v>
      </c>
    </row>
    <row r="27" spans="1:10">
      <c r="A27" t="s">
        <v>128</v>
      </c>
      <c r="B27">
        <v>26</v>
      </c>
      <c r="C27">
        <v>1350</v>
      </c>
      <c r="D27">
        <v>258</v>
      </c>
      <c r="E27">
        <v>102</v>
      </c>
      <c r="F27">
        <v>258</v>
      </c>
      <c r="G27">
        <v>102</v>
      </c>
      <c r="H27">
        <v>130</v>
      </c>
      <c r="I27">
        <v>26</v>
      </c>
      <c r="J27">
        <v>26</v>
      </c>
    </row>
    <row r="28" spans="1:10">
      <c r="A28" t="s">
        <v>128</v>
      </c>
      <c r="B28">
        <v>27</v>
      </c>
      <c r="C28">
        <v>1400</v>
      </c>
      <c r="D28">
        <v>266</v>
      </c>
      <c r="E28">
        <v>104</v>
      </c>
      <c r="F28">
        <v>266</v>
      </c>
      <c r="G28">
        <v>104</v>
      </c>
      <c r="H28">
        <v>135</v>
      </c>
      <c r="I28">
        <v>27</v>
      </c>
      <c r="J28">
        <v>27</v>
      </c>
    </row>
    <row r="29" spans="1:10">
      <c r="A29" t="s">
        <v>128</v>
      </c>
      <c r="B29">
        <v>28</v>
      </c>
      <c r="C29">
        <v>1450</v>
      </c>
      <c r="D29">
        <v>274</v>
      </c>
      <c r="E29">
        <v>106</v>
      </c>
      <c r="F29">
        <v>274</v>
      </c>
      <c r="G29">
        <v>106</v>
      </c>
      <c r="H29">
        <v>140</v>
      </c>
      <c r="I29">
        <v>28</v>
      </c>
      <c r="J29">
        <v>28</v>
      </c>
    </row>
    <row r="30" spans="1:10">
      <c r="A30" t="s">
        <v>128</v>
      </c>
      <c r="B30">
        <v>29</v>
      </c>
      <c r="C30">
        <v>1500</v>
      </c>
      <c r="D30">
        <v>282</v>
      </c>
      <c r="E30">
        <v>108</v>
      </c>
      <c r="F30">
        <v>282</v>
      </c>
      <c r="G30">
        <v>108</v>
      </c>
      <c r="H30">
        <v>145</v>
      </c>
      <c r="I30">
        <v>29</v>
      </c>
      <c r="J30">
        <v>29</v>
      </c>
    </row>
    <row r="31" spans="1:10">
      <c r="A31" t="s">
        <v>128</v>
      </c>
      <c r="B31">
        <v>30</v>
      </c>
      <c r="C31">
        <v>1600</v>
      </c>
      <c r="D31">
        <v>340</v>
      </c>
      <c r="E31">
        <v>160</v>
      </c>
      <c r="F31">
        <v>340</v>
      </c>
      <c r="G31">
        <v>160</v>
      </c>
      <c r="H31">
        <v>150</v>
      </c>
      <c r="I31">
        <v>30</v>
      </c>
      <c r="J31">
        <v>30</v>
      </c>
    </row>
    <row r="32" spans="1:10">
      <c r="A32" t="s">
        <v>128</v>
      </c>
      <c r="B32">
        <v>31</v>
      </c>
      <c r="C32">
        <v>1650</v>
      </c>
      <c r="D32">
        <v>348</v>
      </c>
      <c r="E32">
        <v>162</v>
      </c>
      <c r="F32">
        <v>348</v>
      </c>
      <c r="G32">
        <v>162</v>
      </c>
      <c r="H32">
        <v>155</v>
      </c>
      <c r="I32">
        <v>31</v>
      </c>
      <c r="J32">
        <v>31</v>
      </c>
    </row>
    <row r="33" spans="1:10">
      <c r="A33" t="s">
        <v>128</v>
      </c>
      <c r="B33">
        <v>32</v>
      </c>
      <c r="C33">
        <v>1700</v>
      </c>
      <c r="D33">
        <v>356</v>
      </c>
      <c r="E33">
        <v>164</v>
      </c>
      <c r="F33">
        <v>356</v>
      </c>
      <c r="G33">
        <v>164</v>
      </c>
      <c r="H33">
        <v>160</v>
      </c>
      <c r="I33">
        <v>32</v>
      </c>
      <c r="J33">
        <v>32</v>
      </c>
    </row>
    <row r="34" spans="1:10">
      <c r="A34" t="s">
        <v>128</v>
      </c>
      <c r="B34">
        <v>33</v>
      </c>
      <c r="C34">
        <v>1750</v>
      </c>
      <c r="D34">
        <v>364</v>
      </c>
      <c r="E34">
        <v>166</v>
      </c>
      <c r="F34">
        <v>364</v>
      </c>
      <c r="G34">
        <v>166</v>
      </c>
      <c r="H34">
        <v>165</v>
      </c>
      <c r="I34">
        <v>33</v>
      </c>
      <c r="J34">
        <v>33</v>
      </c>
    </row>
    <row r="35" spans="1:10">
      <c r="A35" t="s">
        <v>128</v>
      </c>
      <c r="B35">
        <v>34</v>
      </c>
      <c r="C35">
        <v>1800</v>
      </c>
      <c r="D35">
        <v>372</v>
      </c>
      <c r="E35">
        <v>168</v>
      </c>
      <c r="F35">
        <v>372</v>
      </c>
      <c r="G35">
        <v>168</v>
      </c>
      <c r="H35">
        <v>170</v>
      </c>
      <c r="I35">
        <v>34</v>
      </c>
      <c r="J35">
        <v>34</v>
      </c>
    </row>
    <row r="36" spans="1:10">
      <c r="A36" t="s">
        <v>128</v>
      </c>
      <c r="B36">
        <v>35</v>
      </c>
      <c r="C36">
        <v>1850</v>
      </c>
      <c r="D36">
        <v>380</v>
      </c>
      <c r="E36">
        <v>170</v>
      </c>
      <c r="F36">
        <v>380</v>
      </c>
      <c r="G36">
        <v>170</v>
      </c>
      <c r="H36">
        <v>175</v>
      </c>
      <c r="I36">
        <v>35</v>
      </c>
      <c r="J36">
        <v>35</v>
      </c>
    </row>
    <row r="37" spans="1:10">
      <c r="A37" t="s">
        <v>128</v>
      </c>
      <c r="B37">
        <v>36</v>
      </c>
      <c r="C37">
        <v>1900</v>
      </c>
      <c r="D37">
        <v>388</v>
      </c>
      <c r="E37">
        <v>172</v>
      </c>
      <c r="F37">
        <v>388</v>
      </c>
      <c r="G37">
        <v>172</v>
      </c>
      <c r="H37">
        <v>180</v>
      </c>
      <c r="I37">
        <v>36</v>
      </c>
      <c r="J37">
        <v>36</v>
      </c>
    </row>
    <row r="38" spans="1:10">
      <c r="A38" t="s">
        <v>128</v>
      </c>
      <c r="B38">
        <v>37</v>
      </c>
      <c r="C38">
        <v>1950</v>
      </c>
      <c r="D38">
        <v>396</v>
      </c>
      <c r="E38">
        <v>174</v>
      </c>
      <c r="F38">
        <v>396</v>
      </c>
      <c r="G38">
        <v>174</v>
      </c>
      <c r="H38">
        <v>185</v>
      </c>
      <c r="I38">
        <v>37</v>
      </c>
      <c r="J38">
        <v>37</v>
      </c>
    </row>
    <row r="39" spans="1:10">
      <c r="A39" t="s">
        <v>128</v>
      </c>
      <c r="B39">
        <v>38</v>
      </c>
      <c r="C39">
        <v>2000</v>
      </c>
      <c r="D39">
        <v>404</v>
      </c>
      <c r="E39">
        <v>176</v>
      </c>
      <c r="F39">
        <v>404</v>
      </c>
      <c r="G39">
        <v>176</v>
      </c>
      <c r="H39">
        <v>190</v>
      </c>
      <c r="I39">
        <v>38</v>
      </c>
      <c r="J39">
        <v>38</v>
      </c>
    </row>
    <row r="40" spans="1:10">
      <c r="A40" t="s">
        <v>128</v>
      </c>
      <c r="B40">
        <v>39</v>
      </c>
      <c r="C40">
        <v>2050</v>
      </c>
      <c r="D40">
        <v>412</v>
      </c>
      <c r="E40">
        <v>178</v>
      </c>
      <c r="F40">
        <v>412</v>
      </c>
      <c r="G40">
        <v>178</v>
      </c>
      <c r="H40">
        <v>195</v>
      </c>
      <c r="I40">
        <v>39</v>
      </c>
      <c r="J40">
        <v>39</v>
      </c>
    </row>
    <row r="41" spans="1:10">
      <c r="A41" t="s">
        <v>128</v>
      </c>
      <c r="B41">
        <v>40</v>
      </c>
      <c r="C41">
        <v>2250</v>
      </c>
      <c r="D41">
        <v>570</v>
      </c>
      <c r="E41">
        <v>330</v>
      </c>
      <c r="F41">
        <v>570</v>
      </c>
      <c r="G41">
        <v>330</v>
      </c>
      <c r="H41">
        <v>200</v>
      </c>
      <c r="I41">
        <v>40</v>
      </c>
      <c r="J41">
        <v>40</v>
      </c>
    </row>
    <row r="42" spans="1:10">
      <c r="A42" t="s">
        <v>128</v>
      </c>
      <c r="B42">
        <v>41</v>
      </c>
      <c r="C42">
        <v>2300</v>
      </c>
      <c r="D42">
        <v>578</v>
      </c>
      <c r="E42">
        <v>332</v>
      </c>
      <c r="F42">
        <v>578</v>
      </c>
      <c r="G42">
        <v>332</v>
      </c>
      <c r="H42">
        <v>205</v>
      </c>
      <c r="I42">
        <v>41</v>
      </c>
      <c r="J42">
        <v>41</v>
      </c>
    </row>
    <row r="43" spans="1:10">
      <c r="A43" t="s">
        <v>128</v>
      </c>
      <c r="B43">
        <v>42</v>
      </c>
      <c r="C43">
        <v>2350</v>
      </c>
      <c r="D43">
        <v>586</v>
      </c>
      <c r="E43">
        <v>334</v>
      </c>
      <c r="F43">
        <v>586</v>
      </c>
      <c r="G43">
        <v>334</v>
      </c>
      <c r="H43">
        <v>210</v>
      </c>
      <c r="I43">
        <v>42</v>
      </c>
      <c r="J43">
        <v>42</v>
      </c>
    </row>
    <row r="44" spans="1:10">
      <c r="A44" t="s">
        <v>128</v>
      </c>
      <c r="B44">
        <v>43</v>
      </c>
      <c r="C44">
        <v>2400</v>
      </c>
      <c r="D44">
        <v>594</v>
      </c>
      <c r="E44">
        <v>336</v>
      </c>
      <c r="F44">
        <v>594</v>
      </c>
      <c r="G44">
        <v>336</v>
      </c>
      <c r="H44">
        <v>215</v>
      </c>
      <c r="I44">
        <v>43</v>
      </c>
      <c r="J44">
        <v>43</v>
      </c>
    </row>
    <row r="45" spans="1:10">
      <c r="A45" t="s">
        <v>128</v>
      </c>
      <c r="B45">
        <v>44</v>
      </c>
      <c r="C45">
        <v>2450</v>
      </c>
      <c r="D45">
        <v>602</v>
      </c>
      <c r="E45">
        <v>338</v>
      </c>
      <c r="F45">
        <v>602</v>
      </c>
      <c r="G45">
        <v>338</v>
      </c>
      <c r="H45">
        <v>220</v>
      </c>
      <c r="I45">
        <v>44</v>
      </c>
      <c r="J45">
        <v>44</v>
      </c>
    </row>
    <row r="46" spans="1:10">
      <c r="A46" t="s">
        <v>128</v>
      </c>
      <c r="B46">
        <v>45</v>
      </c>
      <c r="C46">
        <v>2500</v>
      </c>
      <c r="D46">
        <v>610</v>
      </c>
      <c r="E46">
        <v>340</v>
      </c>
      <c r="F46">
        <v>610</v>
      </c>
      <c r="G46">
        <v>340</v>
      </c>
      <c r="H46">
        <v>225</v>
      </c>
      <c r="I46">
        <v>45</v>
      </c>
      <c r="J46">
        <v>45</v>
      </c>
    </row>
    <row r="47" spans="1:10">
      <c r="A47" t="s">
        <v>128</v>
      </c>
      <c r="B47">
        <v>46</v>
      </c>
      <c r="C47">
        <v>2550</v>
      </c>
      <c r="D47">
        <v>618</v>
      </c>
      <c r="E47">
        <v>342</v>
      </c>
      <c r="F47">
        <v>618</v>
      </c>
      <c r="G47">
        <v>342</v>
      </c>
      <c r="H47">
        <v>230</v>
      </c>
      <c r="I47">
        <v>46</v>
      </c>
      <c r="J47">
        <v>46</v>
      </c>
    </row>
    <row r="48" spans="1:10">
      <c r="A48" t="s">
        <v>128</v>
      </c>
      <c r="B48">
        <v>47</v>
      </c>
      <c r="C48">
        <v>2600</v>
      </c>
      <c r="D48">
        <v>626</v>
      </c>
      <c r="E48">
        <v>344</v>
      </c>
      <c r="F48">
        <v>626</v>
      </c>
      <c r="G48">
        <v>344</v>
      </c>
      <c r="H48">
        <v>235</v>
      </c>
      <c r="I48">
        <v>47</v>
      </c>
      <c r="J48">
        <v>47</v>
      </c>
    </row>
    <row r="49" spans="1:10">
      <c r="A49" t="s">
        <v>128</v>
      </c>
      <c r="B49">
        <v>48</v>
      </c>
      <c r="C49">
        <v>2650</v>
      </c>
      <c r="D49">
        <v>634</v>
      </c>
      <c r="E49">
        <v>346</v>
      </c>
      <c r="F49">
        <v>634</v>
      </c>
      <c r="G49">
        <v>346</v>
      </c>
      <c r="H49">
        <v>240</v>
      </c>
      <c r="I49">
        <v>48</v>
      </c>
      <c r="J49">
        <v>48</v>
      </c>
    </row>
    <row r="50" spans="1:10">
      <c r="A50" t="s">
        <v>128</v>
      </c>
      <c r="B50">
        <v>49</v>
      </c>
      <c r="C50">
        <v>2700</v>
      </c>
      <c r="D50">
        <v>642</v>
      </c>
      <c r="E50">
        <v>348</v>
      </c>
      <c r="F50">
        <v>642</v>
      </c>
      <c r="G50">
        <v>348</v>
      </c>
      <c r="H50">
        <v>245</v>
      </c>
      <c r="I50">
        <v>49</v>
      </c>
      <c r="J50">
        <v>49</v>
      </c>
    </row>
    <row r="51" spans="1:10">
      <c r="A51" t="s">
        <v>128</v>
      </c>
      <c r="B51">
        <v>50</v>
      </c>
      <c r="C51">
        <v>2950</v>
      </c>
      <c r="D51">
        <v>850</v>
      </c>
      <c r="E51">
        <v>550</v>
      </c>
      <c r="F51">
        <v>850</v>
      </c>
      <c r="G51">
        <v>550</v>
      </c>
      <c r="H51">
        <v>250</v>
      </c>
      <c r="I51">
        <v>50</v>
      </c>
      <c r="J51">
        <v>50</v>
      </c>
    </row>
    <row r="52" spans="1:10">
      <c r="A52" t="s">
        <v>128</v>
      </c>
      <c r="B52">
        <v>51</v>
      </c>
      <c r="C52">
        <v>3000</v>
      </c>
      <c r="D52">
        <v>858</v>
      </c>
      <c r="E52">
        <v>552</v>
      </c>
      <c r="F52">
        <v>858</v>
      </c>
      <c r="G52">
        <v>552</v>
      </c>
      <c r="H52">
        <v>255</v>
      </c>
      <c r="I52">
        <v>51</v>
      </c>
      <c r="J52">
        <v>51</v>
      </c>
    </row>
    <row r="53" spans="1:10">
      <c r="A53" t="s">
        <v>128</v>
      </c>
      <c r="B53">
        <v>52</v>
      </c>
      <c r="C53">
        <v>3050</v>
      </c>
      <c r="D53">
        <v>866</v>
      </c>
      <c r="E53">
        <v>554</v>
      </c>
      <c r="F53">
        <v>866</v>
      </c>
      <c r="G53">
        <v>554</v>
      </c>
      <c r="H53">
        <v>260</v>
      </c>
      <c r="I53">
        <v>52</v>
      </c>
      <c r="J53">
        <v>52</v>
      </c>
    </row>
    <row r="54" spans="1:10">
      <c r="A54" t="s">
        <v>128</v>
      </c>
      <c r="B54">
        <v>53</v>
      </c>
      <c r="C54">
        <v>3100</v>
      </c>
      <c r="D54">
        <v>874</v>
      </c>
      <c r="E54">
        <v>556</v>
      </c>
      <c r="F54">
        <v>874</v>
      </c>
      <c r="G54">
        <v>556</v>
      </c>
      <c r="H54">
        <v>265</v>
      </c>
      <c r="I54">
        <v>53</v>
      </c>
      <c r="J54">
        <v>53</v>
      </c>
    </row>
    <row r="55" spans="1:10">
      <c r="A55" t="s">
        <v>128</v>
      </c>
      <c r="B55">
        <v>54</v>
      </c>
      <c r="C55">
        <v>3150</v>
      </c>
      <c r="D55">
        <v>882</v>
      </c>
      <c r="E55">
        <v>558</v>
      </c>
      <c r="F55">
        <v>882</v>
      </c>
      <c r="G55">
        <v>558</v>
      </c>
      <c r="H55">
        <v>270</v>
      </c>
      <c r="I55">
        <v>54</v>
      </c>
      <c r="J55">
        <v>54</v>
      </c>
    </row>
    <row r="56" spans="1:10">
      <c r="A56" t="s">
        <v>128</v>
      </c>
      <c r="B56">
        <v>55</v>
      </c>
      <c r="C56">
        <v>3200</v>
      </c>
      <c r="D56">
        <v>890</v>
      </c>
      <c r="E56">
        <v>560</v>
      </c>
      <c r="F56">
        <v>890</v>
      </c>
      <c r="G56">
        <v>560</v>
      </c>
      <c r="H56">
        <v>275</v>
      </c>
      <c r="I56">
        <v>55</v>
      </c>
      <c r="J56">
        <v>55</v>
      </c>
    </row>
    <row r="57" spans="1:10">
      <c r="A57" t="s">
        <v>128</v>
      </c>
      <c r="B57">
        <v>56</v>
      </c>
      <c r="C57">
        <v>3250</v>
      </c>
      <c r="D57">
        <v>898</v>
      </c>
      <c r="E57">
        <v>562</v>
      </c>
      <c r="F57">
        <v>898</v>
      </c>
      <c r="G57">
        <v>562</v>
      </c>
      <c r="H57">
        <v>280</v>
      </c>
      <c r="I57">
        <v>56</v>
      </c>
      <c r="J57">
        <v>56</v>
      </c>
    </row>
    <row r="58" spans="1:10">
      <c r="A58" t="s">
        <v>128</v>
      </c>
      <c r="B58">
        <v>57</v>
      </c>
      <c r="C58">
        <v>3300</v>
      </c>
      <c r="D58">
        <v>906</v>
      </c>
      <c r="E58">
        <v>564</v>
      </c>
      <c r="F58">
        <v>906</v>
      </c>
      <c r="G58">
        <v>564</v>
      </c>
      <c r="H58">
        <v>285</v>
      </c>
      <c r="I58">
        <v>57</v>
      </c>
      <c r="J58">
        <v>57</v>
      </c>
    </row>
    <row r="59" spans="1:10">
      <c r="A59" t="s">
        <v>128</v>
      </c>
      <c r="B59">
        <v>58</v>
      </c>
      <c r="C59">
        <v>3350</v>
      </c>
      <c r="D59">
        <v>914</v>
      </c>
      <c r="E59">
        <v>566</v>
      </c>
      <c r="F59">
        <v>914</v>
      </c>
      <c r="G59">
        <v>566</v>
      </c>
      <c r="H59">
        <v>290</v>
      </c>
      <c r="I59">
        <v>58</v>
      </c>
      <c r="J59">
        <v>58</v>
      </c>
    </row>
    <row r="60" spans="1:10">
      <c r="A60" t="s">
        <v>128</v>
      </c>
      <c r="B60">
        <v>59</v>
      </c>
      <c r="C60">
        <v>3400</v>
      </c>
      <c r="D60">
        <v>922</v>
      </c>
      <c r="E60">
        <v>568</v>
      </c>
      <c r="F60">
        <v>922</v>
      </c>
      <c r="G60">
        <v>568</v>
      </c>
      <c r="H60">
        <v>295</v>
      </c>
      <c r="I60">
        <v>59</v>
      </c>
      <c r="J60">
        <v>59</v>
      </c>
    </row>
    <row r="61" spans="1:10">
      <c r="A61" t="s">
        <v>128</v>
      </c>
      <c r="B61">
        <v>60</v>
      </c>
      <c r="C61">
        <v>3700</v>
      </c>
      <c r="D61">
        <v>1180</v>
      </c>
      <c r="E61">
        <v>820</v>
      </c>
      <c r="F61">
        <v>1180</v>
      </c>
      <c r="G61">
        <v>820</v>
      </c>
      <c r="H61">
        <v>300</v>
      </c>
      <c r="I61">
        <v>60</v>
      </c>
      <c r="J61">
        <v>60</v>
      </c>
    </row>
    <row r="62" spans="1:10">
      <c r="A62" t="s">
        <v>128</v>
      </c>
      <c r="B62">
        <v>61</v>
      </c>
      <c r="C62">
        <v>3750</v>
      </c>
      <c r="D62">
        <v>1188</v>
      </c>
      <c r="E62">
        <v>822</v>
      </c>
      <c r="F62">
        <v>1188</v>
      </c>
      <c r="G62">
        <v>822</v>
      </c>
      <c r="H62">
        <v>305</v>
      </c>
      <c r="I62">
        <v>61</v>
      </c>
      <c r="J62">
        <v>61</v>
      </c>
    </row>
    <row r="63" spans="1:10">
      <c r="A63" t="s">
        <v>128</v>
      </c>
      <c r="B63">
        <v>62</v>
      </c>
      <c r="C63">
        <v>3800</v>
      </c>
      <c r="D63">
        <v>1196</v>
      </c>
      <c r="E63">
        <v>824</v>
      </c>
      <c r="F63">
        <v>1196</v>
      </c>
      <c r="G63">
        <v>824</v>
      </c>
      <c r="H63">
        <v>310</v>
      </c>
      <c r="I63">
        <v>62</v>
      </c>
      <c r="J63">
        <v>62</v>
      </c>
    </row>
    <row r="64" spans="1:10">
      <c r="A64" t="s">
        <v>128</v>
      </c>
      <c r="B64">
        <v>63</v>
      </c>
      <c r="C64">
        <v>3850</v>
      </c>
      <c r="D64">
        <v>1204</v>
      </c>
      <c r="E64">
        <v>826</v>
      </c>
      <c r="F64">
        <v>1204</v>
      </c>
      <c r="G64">
        <v>826</v>
      </c>
      <c r="H64">
        <v>315</v>
      </c>
      <c r="I64">
        <v>63</v>
      </c>
      <c r="J64">
        <v>63</v>
      </c>
    </row>
    <row r="65" spans="1:10">
      <c r="A65" t="s">
        <v>128</v>
      </c>
      <c r="B65">
        <v>64</v>
      </c>
      <c r="C65">
        <v>3900</v>
      </c>
      <c r="D65">
        <v>1212</v>
      </c>
      <c r="E65">
        <v>828</v>
      </c>
      <c r="F65">
        <v>1212</v>
      </c>
      <c r="G65">
        <v>828</v>
      </c>
      <c r="H65">
        <v>320</v>
      </c>
      <c r="I65">
        <v>64</v>
      </c>
      <c r="J65">
        <v>64</v>
      </c>
    </row>
    <row r="66" spans="1:10">
      <c r="A66" t="s">
        <v>128</v>
      </c>
      <c r="B66">
        <v>65</v>
      </c>
      <c r="C66">
        <v>3950</v>
      </c>
      <c r="D66">
        <v>1220</v>
      </c>
      <c r="E66">
        <v>830</v>
      </c>
      <c r="F66">
        <v>1220</v>
      </c>
      <c r="G66">
        <v>830</v>
      </c>
      <c r="H66">
        <v>325</v>
      </c>
      <c r="I66">
        <v>65</v>
      </c>
      <c r="J66">
        <v>65</v>
      </c>
    </row>
    <row r="67" spans="1:10">
      <c r="A67" t="s">
        <v>128</v>
      </c>
      <c r="B67">
        <v>66</v>
      </c>
      <c r="C67">
        <v>4000</v>
      </c>
      <c r="D67">
        <v>1228</v>
      </c>
      <c r="E67">
        <v>832</v>
      </c>
      <c r="F67">
        <v>1228</v>
      </c>
      <c r="G67">
        <v>832</v>
      </c>
      <c r="H67">
        <v>330</v>
      </c>
      <c r="I67">
        <v>66</v>
      </c>
      <c r="J67">
        <v>66</v>
      </c>
    </row>
    <row r="68" spans="1:10">
      <c r="A68" t="s">
        <v>128</v>
      </c>
      <c r="B68">
        <v>67</v>
      </c>
      <c r="C68">
        <v>4050</v>
      </c>
      <c r="D68">
        <v>1236</v>
      </c>
      <c r="E68">
        <v>834</v>
      </c>
      <c r="F68">
        <v>1236</v>
      </c>
      <c r="G68">
        <v>834</v>
      </c>
      <c r="H68">
        <v>335</v>
      </c>
      <c r="I68">
        <v>67</v>
      </c>
      <c r="J68">
        <v>67</v>
      </c>
    </row>
    <row r="69" spans="1:10">
      <c r="A69" t="s">
        <v>128</v>
      </c>
      <c r="B69">
        <v>68</v>
      </c>
      <c r="C69">
        <v>4100</v>
      </c>
      <c r="D69">
        <v>1244</v>
      </c>
      <c r="E69">
        <v>836</v>
      </c>
      <c r="F69">
        <v>1244</v>
      </c>
      <c r="G69">
        <v>836</v>
      </c>
      <c r="H69">
        <v>340</v>
      </c>
      <c r="I69">
        <v>68</v>
      </c>
      <c r="J69">
        <v>68</v>
      </c>
    </row>
    <row r="70" spans="1:10">
      <c r="A70" t="s">
        <v>128</v>
      </c>
      <c r="B70">
        <v>69</v>
      </c>
      <c r="C70">
        <v>4150</v>
      </c>
      <c r="D70">
        <v>1252</v>
      </c>
      <c r="E70">
        <v>838</v>
      </c>
      <c r="F70">
        <v>1252</v>
      </c>
      <c r="G70">
        <v>838</v>
      </c>
      <c r="H70">
        <v>345</v>
      </c>
      <c r="I70">
        <v>69</v>
      </c>
      <c r="J70">
        <v>69</v>
      </c>
    </row>
    <row r="71" spans="1:10">
      <c r="A71" t="s">
        <v>128</v>
      </c>
      <c r="B71">
        <v>70</v>
      </c>
      <c r="C71">
        <v>4500</v>
      </c>
      <c r="D71">
        <v>1560</v>
      </c>
      <c r="E71">
        <v>1140</v>
      </c>
      <c r="F71">
        <v>1560</v>
      </c>
      <c r="G71">
        <v>1140</v>
      </c>
      <c r="H71">
        <v>350</v>
      </c>
      <c r="I71">
        <v>70</v>
      </c>
      <c r="J71">
        <v>70</v>
      </c>
    </row>
    <row r="72" spans="1:10">
      <c r="A72" t="s">
        <v>128</v>
      </c>
      <c r="B72">
        <v>71</v>
      </c>
      <c r="C72">
        <v>4550</v>
      </c>
      <c r="D72">
        <v>1568</v>
      </c>
      <c r="E72">
        <v>1142</v>
      </c>
      <c r="F72">
        <v>1568</v>
      </c>
      <c r="G72">
        <v>1142</v>
      </c>
      <c r="H72">
        <v>355</v>
      </c>
      <c r="I72">
        <v>71</v>
      </c>
      <c r="J72">
        <v>71</v>
      </c>
    </row>
    <row r="73" spans="1:10">
      <c r="A73" t="s">
        <v>128</v>
      </c>
      <c r="B73">
        <v>72</v>
      </c>
      <c r="C73">
        <v>4600</v>
      </c>
      <c r="D73">
        <v>1576</v>
      </c>
      <c r="E73">
        <v>1144</v>
      </c>
      <c r="F73">
        <v>1576</v>
      </c>
      <c r="G73">
        <v>1144</v>
      </c>
      <c r="H73">
        <v>360</v>
      </c>
      <c r="I73">
        <v>72</v>
      </c>
      <c r="J73">
        <v>72</v>
      </c>
    </row>
    <row r="74" spans="1:10">
      <c r="A74" t="s">
        <v>128</v>
      </c>
      <c r="B74">
        <v>73</v>
      </c>
      <c r="C74">
        <v>4650</v>
      </c>
      <c r="D74">
        <v>1584</v>
      </c>
      <c r="E74">
        <v>1146</v>
      </c>
      <c r="F74">
        <v>1584</v>
      </c>
      <c r="G74">
        <v>1146</v>
      </c>
      <c r="H74">
        <v>365</v>
      </c>
      <c r="I74">
        <v>73</v>
      </c>
      <c r="J74">
        <v>73</v>
      </c>
    </row>
    <row r="75" spans="1:10">
      <c r="A75" t="s">
        <v>128</v>
      </c>
      <c r="B75">
        <v>74</v>
      </c>
      <c r="C75">
        <v>4700</v>
      </c>
      <c r="D75">
        <v>1592</v>
      </c>
      <c r="E75">
        <v>1148</v>
      </c>
      <c r="F75">
        <v>1592</v>
      </c>
      <c r="G75">
        <v>1148</v>
      </c>
      <c r="H75">
        <v>370</v>
      </c>
      <c r="I75">
        <v>74</v>
      </c>
      <c r="J75">
        <v>74</v>
      </c>
    </row>
    <row r="76" spans="1:10">
      <c r="A76" t="s">
        <v>128</v>
      </c>
      <c r="B76">
        <v>75</v>
      </c>
      <c r="C76">
        <v>4750</v>
      </c>
      <c r="D76">
        <v>1600</v>
      </c>
      <c r="E76">
        <v>1150</v>
      </c>
      <c r="F76">
        <v>1600</v>
      </c>
      <c r="G76">
        <v>1150</v>
      </c>
      <c r="H76">
        <v>375</v>
      </c>
      <c r="I76">
        <v>75</v>
      </c>
      <c r="J76">
        <v>75</v>
      </c>
    </row>
    <row r="77" spans="1:10">
      <c r="A77" t="s">
        <v>128</v>
      </c>
      <c r="B77">
        <v>76</v>
      </c>
      <c r="C77">
        <v>4800</v>
      </c>
      <c r="D77">
        <v>1608</v>
      </c>
      <c r="E77">
        <v>1152</v>
      </c>
      <c r="F77">
        <v>1608</v>
      </c>
      <c r="G77">
        <v>1152</v>
      </c>
      <c r="H77">
        <v>380</v>
      </c>
      <c r="I77">
        <v>76</v>
      </c>
      <c r="J77">
        <v>76</v>
      </c>
    </row>
    <row r="78" spans="1:10">
      <c r="A78" t="s">
        <v>128</v>
      </c>
      <c r="B78">
        <v>77</v>
      </c>
      <c r="C78">
        <v>4850</v>
      </c>
      <c r="D78">
        <v>1616</v>
      </c>
      <c r="E78">
        <v>1154</v>
      </c>
      <c r="F78">
        <v>1616</v>
      </c>
      <c r="G78">
        <v>1154</v>
      </c>
      <c r="H78">
        <v>385</v>
      </c>
      <c r="I78">
        <v>77</v>
      </c>
      <c r="J78">
        <v>77</v>
      </c>
    </row>
    <row r="79" spans="1:10">
      <c r="A79" t="s">
        <v>128</v>
      </c>
      <c r="B79">
        <v>78</v>
      </c>
      <c r="C79">
        <v>4900</v>
      </c>
      <c r="D79">
        <v>1624</v>
      </c>
      <c r="E79">
        <v>1156</v>
      </c>
      <c r="F79">
        <v>1624</v>
      </c>
      <c r="G79">
        <v>1156</v>
      </c>
      <c r="H79">
        <v>390</v>
      </c>
      <c r="I79">
        <v>78</v>
      </c>
      <c r="J79">
        <v>78</v>
      </c>
    </row>
    <row r="80" spans="1:10">
      <c r="A80" t="s">
        <v>128</v>
      </c>
      <c r="B80">
        <v>79</v>
      </c>
      <c r="C80">
        <v>4950</v>
      </c>
      <c r="D80">
        <v>1632</v>
      </c>
      <c r="E80">
        <v>1158</v>
      </c>
      <c r="F80">
        <v>1632</v>
      </c>
      <c r="G80">
        <v>1158</v>
      </c>
      <c r="H80">
        <v>395</v>
      </c>
      <c r="I80">
        <v>79</v>
      </c>
      <c r="J80">
        <v>79</v>
      </c>
    </row>
    <row r="81" spans="1:10">
      <c r="A81" t="s">
        <v>128</v>
      </c>
      <c r="B81">
        <v>80</v>
      </c>
      <c r="C81">
        <v>5350</v>
      </c>
      <c r="D81">
        <v>1990</v>
      </c>
      <c r="E81">
        <v>1510</v>
      </c>
      <c r="F81">
        <v>1990</v>
      </c>
      <c r="G81">
        <v>1510</v>
      </c>
      <c r="H81">
        <v>400</v>
      </c>
      <c r="I81">
        <v>80</v>
      </c>
      <c r="J81">
        <v>80</v>
      </c>
    </row>
    <row r="82" spans="1:10">
      <c r="A82" t="s">
        <v>128</v>
      </c>
      <c r="B82">
        <v>81</v>
      </c>
      <c r="C82">
        <v>5400</v>
      </c>
      <c r="D82">
        <v>1998</v>
      </c>
      <c r="E82">
        <v>1512</v>
      </c>
      <c r="F82">
        <v>1998</v>
      </c>
      <c r="G82">
        <v>1512</v>
      </c>
      <c r="H82">
        <v>405</v>
      </c>
      <c r="I82">
        <v>81</v>
      </c>
      <c r="J82">
        <v>81</v>
      </c>
    </row>
    <row r="83" spans="1:10">
      <c r="A83" t="s">
        <v>128</v>
      </c>
      <c r="B83">
        <v>82</v>
      </c>
      <c r="C83">
        <v>5450</v>
      </c>
      <c r="D83">
        <v>2006</v>
      </c>
      <c r="E83">
        <v>1514</v>
      </c>
      <c r="F83">
        <v>2006</v>
      </c>
      <c r="G83">
        <v>1514</v>
      </c>
      <c r="H83">
        <v>410</v>
      </c>
      <c r="I83">
        <v>82</v>
      </c>
      <c r="J83">
        <v>82</v>
      </c>
    </row>
    <row r="84" spans="1:10">
      <c r="A84" t="s">
        <v>128</v>
      </c>
      <c r="B84">
        <v>83</v>
      </c>
      <c r="C84">
        <v>5500</v>
      </c>
      <c r="D84">
        <v>2014</v>
      </c>
      <c r="E84">
        <v>1516</v>
      </c>
      <c r="F84">
        <v>2014</v>
      </c>
      <c r="G84">
        <v>1516</v>
      </c>
      <c r="H84">
        <v>415</v>
      </c>
      <c r="I84">
        <v>83</v>
      </c>
      <c r="J84">
        <v>83</v>
      </c>
    </row>
    <row r="85" spans="1:10">
      <c r="A85" t="s">
        <v>128</v>
      </c>
      <c r="B85">
        <v>84</v>
      </c>
      <c r="C85">
        <v>5550</v>
      </c>
      <c r="D85">
        <v>2022</v>
      </c>
      <c r="E85">
        <v>1518</v>
      </c>
      <c r="F85">
        <v>2022</v>
      </c>
      <c r="G85">
        <v>1518</v>
      </c>
      <c r="H85">
        <v>420</v>
      </c>
      <c r="I85">
        <v>84</v>
      </c>
      <c r="J85">
        <v>84</v>
      </c>
    </row>
    <row r="86" spans="1:10">
      <c r="A86" t="s">
        <v>128</v>
      </c>
      <c r="B86">
        <v>85</v>
      </c>
      <c r="C86">
        <v>5600</v>
      </c>
      <c r="D86">
        <v>2030</v>
      </c>
      <c r="E86">
        <v>1520</v>
      </c>
      <c r="F86">
        <v>2030</v>
      </c>
      <c r="G86">
        <v>1520</v>
      </c>
      <c r="H86">
        <v>425</v>
      </c>
      <c r="I86">
        <v>85</v>
      </c>
      <c r="J86">
        <v>85</v>
      </c>
    </row>
    <row r="87" spans="1:10">
      <c r="A87" t="s">
        <v>128</v>
      </c>
      <c r="B87">
        <v>86</v>
      </c>
      <c r="C87">
        <v>5650</v>
      </c>
      <c r="D87">
        <v>2038</v>
      </c>
      <c r="E87">
        <v>1522</v>
      </c>
      <c r="F87">
        <v>2038</v>
      </c>
      <c r="G87">
        <v>1522</v>
      </c>
      <c r="H87">
        <v>430</v>
      </c>
      <c r="I87">
        <v>86</v>
      </c>
      <c r="J87">
        <v>86</v>
      </c>
    </row>
    <row r="88" spans="1:10">
      <c r="A88" t="s">
        <v>128</v>
      </c>
      <c r="B88">
        <v>87</v>
      </c>
      <c r="C88">
        <v>5700</v>
      </c>
      <c r="D88">
        <v>2046</v>
      </c>
      <c r="E88">
        <v>1524</v>
      </c>
      <c r="F88">
        <v>2046</v>
      </c>
      <c r="G88">
        <v>1524</v>
      </c>
      <c r="H88">
        <v>435</v>
      </c>
      <c r="I88">
        <v>87</v>
      </c>
      <c r="J88">
        <v>87</v>
      </c>
    </row>
    <row r="89" spans="1:10">
      <c r="A89" t="s">
        <v>128</v>
      </c>
      <c r="B89">
        <v>88</v>
      </c>
      <c r="C89">
        <v>5750</v>
      </c>
      <c r="D89">
        <v>2054</v>
      </c>
      <c r="E89">
        <v>1526</v>
      </c>
      <c r="F89">
        <v>2054</v>
      </c>
      <c r="G89">
        <v>1526</v>
      </c>
      <c r="H89">
        <v>440</v>
      </c>
      <c r="I89">
        <v>88</v>
      </c>
      <c r="J89">
        <v>88</v>
      </c>
    </row>
    <row r="90" spans="1:10">
      <c r="A90" t="s">
        <v>128</v>
      </c>
      <c r="B90">
        <v>89</v>
      </c>
      <c r="C90">
        <v>5800</v>
      </c>
      <c r="D90">
        <v>2062</v>
      </c>
      <c r="E90">
        <v>1528</v>
      </c>
      <c r="F90">
        <v>2062</v>
      </c>
      <c r="G90">
        <v>1528</v>
      </c>
      <c r="H90">
        <v>445</v>
      </c>
      <c r="I90">
        <v>89</v>
      </c>
      <c r="J90">
        <v>89</v>
      </c>
    </row>
    <row r="91" spans="1:10">
      <c r="A91" t="s">
        <v>128</v>
      </c>
      <c r="B91">
        <v>90</v>
      </c>
      <c r="C91">
        <v>6100</v>
      </c>
      <c r="D91">
        <v>2320</v>
      </c>
      <c r="E91">
        <v>1780</v>
      </c>
      <c r="F91">
        <v>2320</v>
      </c>
      <c r="G91">
        <v>1780</v>
      </c>
      <c r="H91">
        <v>450</v>
      </c>
      <c r="I91">
        <v>90</v>
      </c>
      <c r="J91">
        <v>90</v>
      </c>
    </row>
    <row r="92" spans="1:10">
      <c r="A92" t="s">
        <v>128</v>
      </c>
      <c r="B92">
        <v>91</v>
      </c>
      <c r="C92">
        <v>6150</v>
      </c>
      <c r="D92">
        <v>2328</v>
      </c>
      <c r="E92">
        <v>1782</v>
      </c>
      <c r="F92">
        <v>2328</v>
      </c>
      <c r="G92">
        <v>1782</v>
      </c>
      <c r="H92">
        <v>455</v>
      </c>
      <c r="I92">
        <v>91</v>
      </c>
      <c r="J92">
        <v>91</v>
      </c>
    </row>
    <row r="93" spans="1:10">
      <c r="A93" t="s">
        <v>128</v>
      </c>
      <c r="B93">
        <v>92</v>
      </c>
      <c r="C93">
        <v>6200</v>
      </c>
      <c r="D93">
        <v>2336</v>
      </c>
      <c r="E93">
        <v>1784</v>
      </c>
      <c r="F93">
        <v>2336</v>
      </c>
      <c r="G93">
        <v>1784</v>
      </c>
      <c r="H93">
        <v>460</v>
      </c>
      <c r="I93">
        <v>92</v>
      </c>
      <c r="J93">
        <v>92</v>
      </c>
    </row>
    <row r="94" spans="1:10">
      <c r="A94" t="s">
        <v>128</v>
      </c>
      <c r="B94">
        <v>93</v>
      </c>
      <c r="C94">
        <v>6250</v>
      </c>
      <c r="D94">
        <v>2344</v>
      </c>
      <c r="E94">
        <v>1786</v>
      </c>
      <c r="F94">
        <v>2344</v>
      </c>
      <c r="G94">
        <v>1786</v>
      </c>
      <c r="H94">
        <v>465</v>
      </c>
      <c r="I94">
        <v>93</v>
      </c>
      <c r="J94">
        <v>93</v>
      </c>
    </row>
    <row r="95" spans="1:10">
      <c r="A95" t="s">
        <v>128</v>
      </c>
      <c r="B95">
        <v>94</v>
      </c>
      <c r="C95">
        <v>6300</v>
      </c>
      <c r="D95">
        <v>2352</v>
      </c>
      <c r="E95">
        <v>1788</v>
      </c>
      <c r="F95">
        <v>2352</v>
      </c>
      <c r="G95">
        <v>1788</v>
      </c>
      <c r="H95">
        <v>470</v>
      </c>
      <c r="I95">
        <v>94</v>
      </c>
      <c r="J95">
        <v>94</v>
      </c>
    </row>
    <row r="96" spans="1:10">
      <c r="A96" t="s">
        <v>128</v>
      </c>
      <c r="B96">
        <v>95</v>
      </c>
      <c r="C96">
        <v>6350</v>
      </c>
      <c r="D96">
        <v>2360</v>
      </c>
      <c r="E96">
        <v>1790</v>
      </c>
      <c r="F96">
        <v>2360</v>
      </c>
      <c r="G96">
        <v>1790</v>
      </c>
      <c r="H96">
        <v>475</v>
      </c>
      <c r="I96">
        <v>95</v>
      </c>
      <c r="J96">
        <v>95</v>
      </c>
    </row>
    <row r="97" spans="1:10">
      <c r="A97" t="s">
        <v>128</v>
      </c>
      <c r="B97">
        <v>96</v>
      </c>
      <c r="C97">
        <v>6400</v>
      </c>
      <c r="D97">
        <v>2368</v>
      </c>
      <c r="E97">
        <v>1792</v>
      </c>
      <c r="F97">
        <v>2368</v>
      </c>
      <c r="G97">
        <v>1792</v>
      </c>
      <c r="H97">
        <v>480</v>
      </c>
      <c r="I97">
        <v>96</v>
      </c>
      <c r="J97">
        <v>96</v>
      </c>
    </row>
    <row r="98" spans="1:10">
      <c r="A98" t="s">
        <v>128</v>
      </c>
      <c r="B98">
        <v>97</v>
      </c>
      <c r="C98">
        <v>6450</v>
      </c>
      <c r="D98">
        <v>2376</v>
      </c>
      <c r="E98">
        <v>1794</v>
      </c>
      <c r="F98">
        <v>2376</v>
      </c>
      <c r="G98">
        <v>1794</v>
      </c>
      <c r="H98">
        <v>485</v>
      </c>
      <c r="I98">
        <v>97</v>
      </c>
      <c r="J98">
        <v>97</v>
      </c>
    </row>
    <row r="99" spans="1:10">
      <c r="A99" t="s">
        <v>128</v>
      </c>
      <c r="B99">
        <v>98</v>
      </c>
      <c r="C99">
        <v>6500</v>
      </c>
      <c r="D99">
        <v>2384</v>
      </c>
      <c r="E99">
        <v>1796</v>
      </c>
      <c r="F99">
        <v>2384</v>
      </c>
      <c r="G99">
        <v>1796</v>
      </c>
      <c r="H99">
        <v>490</v>
      </c>
      <c r="I99">
        <v>98</v>
      </c>
      <c r="J99">
        <v>98</v>
      </c>
    </row>
    <row r="100" spans="1:10">
      <c r="A100" t="s">
        <v>128</v>
      </c>
      <c r="B100">
        <v>99</v>
      </c>
      <c r="C100">
        <v>6550</v>
      </c>
      <c r="D100">
        <v>2392</v>
      </c>
      <c r="E100">
        <v>1798</v>
      </c>
      <c r="F100">
        <v>2392</v>
      </c>
      <c r="G100">
        <v>1798</v>
      </c>
      <c r="H100">
        <v>495</v>
      </c>
      <c r="I100">
        <v>99</v>
      </c>
      <c r="J100">
        <v>99</v>
      </c>
    </row>
    <row r="101" spans="1:10">
      <c r="A101" t="s">
        <v>128</v>
      </c>
      <c r="B101">
        <v>100</v>
      </c>
      <c r="C101">
        <v>6800</v>
      </c>
      <c r="D101">
        <v>2600</v>
      </c>
      <c r="E101">
        <v>2000</v>
      </c>
      <c r="F101">
        <v>2600</v>
      </c>
      <c r="G101">
        <v>2000</v>
      </c>
      <c r="H101">
        <v>500</v>
      </c>
      <c r="I101">
        <v>100</v>
      </c>
      <c r="J101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战斗模拟</vt:lpstr>
      <vt:lpstr>技能</vt:lpstr>
      <vt:lpstr>装备</vt:lpstr>
      <vt:lpstr>战士</vt:lpstr>
      <vt:lpstr>弓箭</vt:lpstr>
      <vt:lpstr>法师</vt:lpstr>
      <vt:lpstr>NPC</vt:lpstr>
      <vt:lpstr>NPC数值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2013-03-26T07:58:59Z</dcterms:modified>
</cp:coreProperties>
</file>