
<file path=[Content_Types].xml><?xml version="1.0" encoding="utf-8"?>
<Types xmlns="http://schemas.openxmlformats.org/package/2006/content-types">
  <Override PartName="/xl/activeX/activeX9.xml" ContentType="application/vnd.ms-office.activeX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activeX/activeX19.xml" ContentType="application/vnd.ms-office.activeX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activeX/activeX5.xml" ContentType="application/vnd.ms-office.activeX+xml"/>
  <Default Extension="emf" ContentType="image/x-emf"/>
  <Override PartName="/xl/activeX/activeX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charts/chart1.xml" ContentType="application/vnd.openxmlformats-officedocument.drawingml.chart+xml"/>
  <Override PartName="/xl/activeX/activeX24.xml" ContentType="application/vnd.ms-office.activeX+xml"/>
  <Override PartName="/xl/activeX/activeX25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1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docProps/core.xml" ContentType="application/vnd.openxmlformats-package.core-properties+xml"/>
  <Default Extension="bin" ContentType="application/vnd.openxmlformats-officedocument.spreadsheetml.printerSettings"/>
  <Override PartName="/xl/worksheets/sheet14.xml" ContentType="application/vnd.openxmlformats-officedocument.spreadsheetml.worksheet+xml"/>
  <Override PartName="/xl/activeX/activeX8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0" yWindow="90" windowWidth="19200" windowHeight="11640" activeTab="1"/>
  </bookViews>
  <sheets>
    <sheet name="登录界面" sheetId="1" r:id="rId1"/>
    <sheet name="战斗界面" sheetId="2" r:id="rId2"/>
    <sheet name="地图和怪物数值" sheetId="3" r:id="rId3"/>
    <sheet name="人物属性" sheetId="4" r:id="rId4"/>
    <sheet name="装备属性" sheetId="5" r:id="rId5"/>
    <sheet name="经验表" sheetId="6" r:id="rId6"/>
    <sheet name="装备生成表" sheetId="7" r:id="rId7"/>
    <sheet name="平衡" sheetId="8" r:id="rId8"/>
    <sheet name="战士" sheetId="9" r:id="rId9"/>
    <sheet name="弓箭" sheetId="10" r:id="rId10"/>
    <sheet name="法师" sheetId="11" r:id="rId11"/>
    <sheet name="战士装备" sheetId="12" r:id="rId12"/>
    <sheet name="弓箭装备" sheetId="13" r:id="rId13"/>
    <sheet name="法师装备" sheetId="14" r:id="rId14"/>
  </sheets>
  <definedNames>
    <definedName name="_xlnm._FilterDatabase" localSheetId="1" hidden="1">战斗界面!$A$30:$F$30</definedName>
  </definedNames>
  <calcPr calcId="124519"/>
</workbook>
</file>

<file path=xl/calcChain.xml><?xml version="1.0" encoding="utf-8"?>
<calcChain xmlns="http://schemas.openxmlformats.org/spreadsheetml/2006/main">
  <c r="T5" i="5"/>
  <c r="S5"/>
  <c r="R5"/>
  <c r="Q5"/>
  <c r="P5"/>
  <c r="M5"/>
  <c r="L5"/>
  <c r="K5"/>
  <c r="J5"/>
  <c r="I5"/>
  <c r="F5"/>
  <c r="E5"/>
  <c r="D5"/>
  <c r="C5"/>
  <c r="B5"/>
  <c r="O3" i="11"/>
  <c r="P3"/>
  <c r="O4"/>
  <c r="P4"/>
  <c r="O5"/>
  <c r="P5"/>
  <c r="O6"/>
  <c r="P6"/>
  <c r="O7"/>
  <c r="P7"/>
  <c r="O8"/>
  <c r="P8"/>
  <c r="O9"/>
  <c r="P9"/>
  <c r="O10"/>
  <c r="P10"/>
  <c r="O11"/>
  <c r="P11"/>
  <c r="O12"/>
  <c r="P12"/>
  <c r="O13"/>
  <c r="P13"/>
  <c r="O14"/>
  <c r="P14"/>
  <c r="O15"/>
  <c r="P15"/>
  <c r="O16"/>
  <c r="P16"/>
  <c r="O17"/>
  <c r="P17"/>
  <c r="O18"/>
  <c r="P18"/>
  <c r="O19"/>
  <c r="P19"/>
  <c r="O20"/>
  <c r="P20"/>
  <c r="O21"/>
  <c r="P21"/>
  <c r="O22"/>
  <c r="P22"/>
  <c r="O23"/>
  <c r="P23"/>
  <c r="O24"/>
  <c r="P24"/>
  <c r="O25"/>
  <c r="P25"/>
  <c r="O26"/>
  <c r="P26"/>
  <c r="O27"/>
  <c r="P27"/>
  <c r="O28"/>
  <c r="P28"/>
  <c r="O29"/>
  <c r="P29"/>
  <c r="O30"/>
  <c r="P30"/>
  <c r="O31"/>
  <c r="P31"/>
  <c r="O32"/>
  <c r="P32"/>
  <c r="O33"/>
  <c r="P33"/>
  <c r="O34"/>
  <c r="P34"/>
  <c r="O35"/>
  <c r="P35"/>
  <c r="O36"/>
  <c r="P36"/>
  <c r="O37"/>
  <c r="P37"/>
  <c r="O38"/>
  <c r="P38"/>
  <c r="O39"/>
  <c r="P39"/>
  <c r="O40"/>
  <c r="P40"/>
  <c r="O41"/>
  <c r="P41"/>
  <c r="O42"/>
  <c r="P42"/>
  <c r="O43"/>
  <c r="P43"/>
  <c r="O44"/>
  <c r="P44"/>
  <c r="O45"/>
  <c r="P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P60"/>
  <c r="O61"/>
  <c r="P61"/>
  <c r="O62"/>
  <c r="P62"/>
  <c r="O63"/>
  <c r="P63"/>
  <c r="O64"/>
  <c r="P64"/>
  <c r="O65"/>
  <c r="P65"/>
  <c r="O66"/>
  <c r="P66"/>
  <c r="O67"/>
  <c r="P67"/>
  <c r="O68"/>
  <c r="P68"/>
  <c r="O69"/>
  <c r="P69"/>
  <c r="O70"/>
  <c r="P70"/>
  <c r="O71"/>
  <c r="P71"/>
  <c r="O72"/>
  <c r="P72"/>
  <c r="O73"/>
  <c r="P73"/>
  <c r="O74"/>
  <c r="P74"/>
  <c r="O75"/>
  <c r="P75"/>
  <c r="O76"/>
  <c r="P76"/>
  <c r="O77"/>
  <c r="P77"/>
  <c r="O78"/>
  <c r="P78"/>
  <c r="O79"/>
  <c r="P79"/>
  <c r="O80"/>
  <c r="P80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P93"/>
  <c r="O94"/>
  <c r="P94"/>
  <c r="O95"/>
  <c r="P95"/>
  <c r="O96"/>
  <c r="P96"/>
  <c r="O97"/>
  <c r="P97"/>
  <c r="O98"/>
  <c r="P98"/>
  <c r="O99"/>
  <c r="P99"/>
  <c r="O100"/>
  <c r="P100"/>
  <c r="O101"/>
  <c r="P101"/>
  <c r="P2"/>
  <c r="O2"/>
  <c r="O3" i="10"/>
  <c r="P3"/>
  <c r="O4"/>
  <c r="P4"/>
  <c r="O5"/>
  <c r="P5"/>
  <c r="O6"/>
  <c r="P6"/>
  <c r="O7"/>
  <c r="P7"/>
  <c r="O8"/>
  <c r="P8"/>
  <c r="O9"/>
  <c r="P9"/>
  <c r="O10"/>
  <c r="P10"/>
  <c r="O11"/>
  <c r="P11"/>
  <c r="O12"/>
  <c r="P12"/>
  <c r="O13"/>
  <c r="P13"/>
  <c r="O14"/>
  <c r="P14"/>
  <c r="O15"/>
  <c r="P15"/>
  <c r="O16"/>
  <c r="P16"/>
  <c r="O17"/>
  <c r="P17"/>
  <c r="O18"/>
  <c r="P18"/>
  <c r="O19"/>
  <c r="P19"/>
  <c r="O20"/>
  <c r="P20"/>
  <c r="O21"/>
  <c r="P21"/>
  <c r="O22"/>
  <c r="P22"/>
  <c r="O23"/>
  <c r="P23"/>
  <c r="O24"/>
  <c r="P24"/>
  <c r="O25"/>
  <c r="P25"/>
  <c r="O26"/>
  <c r="P26"/>
  <c r="O27"/>
  <c r="P27"/>
  <c r="O28"/>
  <c r="P28"/>
  <c r="O29"/>
  <c r="P29"/>
  <c r="O30"/>
  <c r="P30"/>
  <c r="O31"/>
  <c r="P31"/>
  <c r="O32"/>
  <c r="P32"/>
  <c r="O33"/>
  <c r="P33"/>
  <c r="O34"/>
  <c r="P34"/>
  <c r="O35"/>
  <c r="P35"/>
  <c r="O36"/>
  <c r="P36"/>
  <c r="O37"/>
  <c r="P37"/>
  <c r="O38"/>
  <c r="P38"/>
  <c r="O39"/>
  <c r="P39"/>
  <c r="O40"/>
  <c r="P40"/>
  <c r="O41"/>
  <c r="P41"/>
  <c r="O42"/>
  <c r="P42"/>
  <c r="O43"/>
  <c r="P43"/>
  <c r="O44"/>
  <c r="P44"/>
  <c r="O45"/>
  <c r="P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P60"/>
  <c r="O61"/>
  <c r="P61"/>
  <c r="O62"/>
  <c r="P62"/>
  <c r="O63"/>
  <c r="P63"/>
  <c r="O64"/>
  <c r="P64"/>
  <c r="O65"/>
  <c r="P65"/>
  <c r="O66"/>
  <c r="P66"/>
  <c r="O67"/>
  <c r="P67"/>
  <c r="O68"/>
  <c r="P68"/>
  <c r="O69"/>
  <c r="P69"/>
  <c r="O70"/>
  <c r="P70"/>
  <c r="O71"/>
  <c r="P71"/>
  <c r="O72"/>
  <c r="P72"/>
  <c r="O73"/>
  <c r="P73"/>
  <c r="O74"/>
  <c r="P74"/>
  <c r="O75"/>
  <c r="P75"/>
  <c r="O76"/>
  <c r="P76"/>
  <c r="O77"/>
  <c r="P77"/>
  <c r="O78"/>
  <c r="P78"/>
  <c r="O79"/>
  <c r="P79"/>
  <c r="O80"/>
  <c r="P80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P93"/>
  <c r="O94"/>
  <c r="P94"/>
  <c r="O95"/>
  <c r="P95"/>
  <c r="O96"/>
  <c r="P96"/>
  <c r="O97"/>
  <c r="P97"/>
  <c r="O98"/>
  <c r="P98"/>
  <c r="O99"/>
  <c r="P99"/>
  <c r="O100"/>
  <c r="P100"/>
  <c r="O101"/>
  <c r="P101"/>
  <c r="P2"/>
  <c r="O2"/>
  <c r="O3" i="9"/>
  <c r="P3"/>
  <c r="O4"/>
  <c r="P4"/>
  <c r="O5"/>
  <c r="P5"/>
  <c r="O6"/>
  <c r="P6"/>
  <c r="O7"/>
  <c r="P7"/>
  <c r="O8"/>
  <c r="P8"/>
  <c r="O9"/>
  <c r="P9"/>
  <c r="O10"/>
  <c r="P10"/>
  <c r="O11"/>
  <c r="P11"/>
  <c r="O12"/>
  <c r="P12"/>
  <c r="O13"/>
  <c r="P13"/>
  <c r="O14"/>
  <c r="P14"/>
  <c r="O15"/>
  <c r="P15"/>
  <c r="O16"/>
  <c r="P16"/>
  <c r="O17"/>
  <c r="P17"/>
  <c r="O18"/>
  <c r="P18"/>
  <c r="O19"/>
  <c r="P19"/>
  <c r="O20"/>
  <c r="P20"/>
  <c r="O21"/>
  <c r="P21"/>
  <c r="O22"/>
  <c r="P22"/>
  <c r="O23"/>
  <c r="P23"/>
  <c r="O24"/>
  <c r="P24"/>
  <c r="O25"/>
  <c r="P25"/>
  <c r="O26"/>
  <c r="P26"/>
  <c r="O27"/>
  <c r="P27"/>
  <c r="O28"/>
  <c r="P28"/>
  <c r="O29"/>
  <c r="P29"/>
  <c r="O30"/>
  <c r="P30"/>
  <c r="O31"/>
  <c r="P31"/>
  <c r="O32"/>
  <c r="P32"/>
  <c r="O33"/>
  <c r="P33"/>
  <c r="O34"/>
  <c r="P34"/>
  <c r="O35"/>
  <c r="P35"/>
  <c r="O36"/>
  <c r="P36"/>
  <c r="O37"/>
  <c r="P37"/>
  <c r="O38"/>
  <c r="P38"/>
  <c r="O39"/>
  <c r="P39"/>
  <c r="O40"/>
  <c r="P40"/>
  <c r="O41"/>
  <c r="P41"/>
  <c r="O42"/>
  <c r="P42"/>
  <c r="O43"/>
  <c r="P43"/>
  <c r="O44"/>
  <c r="P44"/>
  <c r="O45"/>
  <c r="P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P60"/>
  <c r="O61"/>
  <c r="P61"/>
  <c r="O62"/>
  <c r="P62"/>
  <c r="O63"/>
  <c r="P63"/>
  <c r="O64"/>
  <c r="P64"/>
  <c r="O65"/>
  <c r="P65"/>
  <c r="O66"/>
  <c r="P66"/>
  <c r="O67"/>
  <c r="P67"/>
  <c r="O68"/>
  <c r="P68"/>
  <c r="O69"/>
  <c r="P69"/>
  <c r="O70"/>
  <c r="P70"/>
  <c r="O71"/>
  <c r="P71"/>
  <c r="O72"/>
  <c r="P72"/>
  <c r="O73"/>
  <c r="P73"/>
  <c r="O74"/>
  <c r="P74"/>
  <c r="O75"/>
  <c r="P75"/>
  <c r="O76"/>
  <c r="P76"/>
  <c r="O77"/>
  <c r="P77"/>
  <c r="O78"/>
  <c r="P78"/>
  <c r="O79"/>
  <c r="P79"/>
  <c r="O80"/>
  <c r="P80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P93"/>
  <c r="O94"/>
  <c r="P94"/>
  <c r="O95"/>
  <c r="P95"/>
  <c r="O96"/>
  <c r="P96"/>
  <c r="O97"/>
  <c r="P97"/>
  <c r="O98"/>
  <c r="P98"/>
  <c r="O99"/>
  <c r="P99"/>
  <c r="O100"/>
  <c r="P100"/>
  <c r="O101"/>
  <c r="P101"/>
  <c r="P2"/>
  <c r="O2"/>
  <c r="O3" i="8"/>
  <c r="P3"/>
  <c r="O4"/>
  <c r="P4"/>
  <c r="O5"/>
  <c r="P5"/>
  <c r="O6"/>
  <c r="P6"/>
  <c r="O7"/>
  <c r="P7"/>
  <c r="O8"/>
  <c r="P8"/>
  <c r="O9"/>
  <c r="P9"/>
  <c r="O10"/>
  <c r="P10"/>
  <c r="O11"/>
  <c r="P11"/>
  <c r="O12"/>
  <c r="P12"/>
  <c r="O13"/>
  <c r="P13"/>
  <c r="O14"/>
  <c r="P14"/>
  <c r="O15"/>
  <c r="P15"/>
  <c r="O16"/>
  <c r="P16"/>
  <c r="O17"/>
  <c r="P17"/>
  <c r="O18"/>
  <c r="P18"/>
  <c r="O19"/>
  <c r="P19"/>
  <c r="O20"/>
  <c r="P20"/>
  <c r="O21"/>
  <c r="P21"/>
  <c r="O22"/>
  <c r="P22"/>
  <c r="O23"/>
  <c r="P23"/>
  <c r="O24"/>
  <c r="P24"/>
  <c r="O25"/>
  <c r="P25"/>
  <c r="O26"/>
  <c r="P26"/>
  <c r="O27"/>
  <c r="P27"/>
  <c r="O28"/>
  <c r="P28"/>
  <c r="O29"/>
  <c r="P29"/>
  <c r="O30"/>
  <c r="P30"/>
  <c r="O31"/>
  <c r="P31"/>
  <c r="O32"/>
  <c r="P32"/>
  <c r="O33"/>
  <c r="P33"/>
  <c r="O34"/>
  <c r="P34"/>
  <c r="O35"/>
  <c r="P35"/>
  <c r="O36"/>
  <c r="P36"/>
  <c r="O37"/>
  <c r="P37"/>
  <c r="O38"/>
  <c r="P38"/>
  <c r="O39"/>
  <c r="P39"/>
  <c r="O40"/>
  <c r="P40"/>
  <c r="O41"/>
  <c r="P41"/>
  <c r="O42"/>
  <c r="P42"/>
  <c r="O43"/>
  <c r="P43"/>
  <c r="O44"/>
  <c r="P44"/>
  <c r="O45"/>
  <c r="P45"/>
  <c r="O46"/>
  <c r="P46"/>
  <c r="O47"/>
  <c r="P47"/>
  <c r="O48"/>
  <c r="P48"/>
  <c r="O49"/>
  <c r="P49"/>
  <c r="O50"/>
  <c r="P50"/>
  <c r="O51"/>
  <c r="P51"/>
  <c r="O52"/>
  <c r="P52"/>
  <c r="O53"/>
  <c r="P53"/>
  <c r="O54"/>
  <c r="P54"/>
  <c r="O55"/>
  <c r="P55"/>
  <c r="O56"/>
  <c r="P56"/>
  <c r="O57"/>
  <c r="P57"/>
  <c r="O58"/>
  <c r="P58"/>
  <c r="O59"/>
  <c r="P59"/>
  <c r="O60"/>
  <c r="P60"/>
  <c r="O61"/>
  <c r="P61"/>
  <c r="O62"/>
  <c r="P62"/>
  <c r="O63"/>
  <c r="P63"/>
  <c r="O64"/>
  <c r="P64"/>
  <c r="O65"/>
  <c r="P65"/>
  <c r="O66"/>
  <c r="P66"/>
  <c r="O67"/>
  <c r="P67"/>
  <c r="O68"/>
  <c r="P68"/>
  <c r="O69"/>
  <c r="P69"/>
  <c r="O70"/>
  <c r="P70"/>
  <c r="O71"/>
  <c r="P71"/>
  <c r="O72"/>
  <c r="P72"/>
  <c r="O73"/>
  <c r="P73"/>
  <c r="O74"/>
  <c r="P74"/>
  <c r="O75"/>
  <c r="P75"/>
  <c r="O76"/>
  <c r="P76"/>
  <c r="O77"/>
  <c r="P77"/>
  <c r="O78"/>
  <c r="P78"/>
  <c r="O79"/>
  <c r="P79"/>
  <c r="O80"/>
  <c r="P80"/>
  <c r="O81"/>
  <c r="P81"/>
  <c r="O82"/>
  <c r="P82"/>
  <c r="O83"/>
  <c r="P83"/>
  <c r="O84"/>
  <c r="P84"/>
  <c r="O85"/>
  <c r="P85"/>
  <c r="O86"/>
  <c r="P86"/>
  <c r="O87"/>
  <c r="P87"/>
  <c r="O88"/>
  <c r="P88"/>
  <c r="O89"/>
  <c r="P89"/>
  <c r="O90"/>
  <c r="P90"/>
  <c r="O91"/>
  <c r="P91"/>
  <c r="O92"/>
  <c r="P92"/>
  <c r="O93"/>
  <c r="P93"/>
  <c r="O94"/>
  <c r="P94"/>
  <c r="O95"/>
  <c r="P95"/>
  <c r="O96"/>
  <c r="P96"/>
  <c r="O97"/>
  <c r="P97"/>
  <c r="O98"/>
  <c r="P98"/>
  <c r="O99"/>
  <c r="P99"/>
  <c r="O100"/>
  <c r="P100"/>
  <c r="O101"/>
  <c r="P101"/>
  <c r="P2"/>
  <c r="O2"/>
  <c r="Q14" i="4"/>
  <c r="P14"/>
  <c r="O14"/>
  <c r="N14"/>
  <c r="M14"/>
  <c r="L14"/>
  <c r="K14"/>
  <c r="J14"/>
  <c r="Q13"/>
  <c r="P13"/>
  <c r="O13"/>
  <c r="N13"/>
  <c r="M13"/>
  <c r="L13"/>
  <c r="K13"/>
  <c r="J13"/>
  <c r="O11"/>
  <c r="Q12"/>
  <c r="P12"/>
  <c r="O12"/>
  <c r="N12"/>
  <c r="L12"/>
  <c r="K12"/>
  <c r="J12"/>
  <c r="Q11"/>
  <c r="P11"/>
  <c r="N11"/>
  <c r="M11"/>
  <c r="L11"/>
  <c r="K11"/>
  <c r="J11"/>
  <c r="N7" l="1"/>
  <c r="M7"/>
  <c r="L7"/>
  <c r="K7"/>
  <c r="J7"/>
  <c r="N6"/>
  <c r="M6"/>
  <c r="K6"/>
  <c r="N5"/>
  <c r="M5"/>
  <c r="L5"/>
  <c r="K5"/>
  <c r="J5"/>
  <c r="O18" i="3" l="1"/>
  <c r="G3" i="6" l="1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2"/>
  <c r="F5"/>
  <c r="F6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F4"/>
  <c r="F3"/>
  <c r="B3" l="1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2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2"/>
  <c r="O14" i="3"/>
  <c r="O17"/>
  <c r="O16"/>
  <c r="O15"/>
  <c r="O13"/>
  <c r="O12"/>
  <c r="O11"/>
  <c r="O10"/>
  <c r="O9"/>
  <c r="O8"/>
  <c r="G5" i="2"/>
  <c r="X22" i="4"/>
  <c r="N23"/>
  <c r="Z22"/>
  <c r="Y22"/>
  <c r="C17" i="5"/>
  <c r="B17"/>
  <c r="E17"/>
  <c r="D17"/>
  <c r="U41" i="4"/>
  <c r="U42"/>
  <c r="U43"/>
  <c r="U44"/>
  <c r="U45"/>
  <c r="U46"/>
  <c r="U47"/>
  <c r="U48"/>
  <c r="U40"/>
  <c r="T41"/>
  <c r="T42"/>
  <c r="T43"/>
  <c r="T44"/>
  <c r="T45"/>
  <c r="T46"/>
  <c r="T47"/>
  <c r="T48"/>
  <c r="T40"/>
  <c r="S41"/>
  <c r="S42"/>
  <c r="S43"/>
  <c r="S44"/>
  <c r="S45"/>
  <c r="S46"/>
  <c r="S47"/>
  <c r="S48"/>
  <c r="S40"/>
  <c r="S23" l="1"/>
  <c r="T23" s="1"/>
  <c r="N24"/>
  <c r="N26"/>
  <c r="N25"/>
  <c r="N27"/>
  <c r="N31" s="1"/>
  <c r="Z23"/>
  <c r="Z25"/>
  <c r="Z27"/>
  <c r="Z29"/>
  <c r="Z31"/>
  <c r="Z33"/>
  <c r="Z35"/>
  <c r="Z24"/>
  <c r="Z26"/>
  <c r="Z28"/>
  <c r="Z30"/>
  <c r="Z32"/>
  <c r="Z34"/>
  <c r="Y23"/>
  <c r="Y25"/>
  <c r="Y27"/>
  <c r="Y29"/>
  <c r="Y31"/>
  <c r="Y33"/>
  <c r="Y35"/>
  <c r="Y24"/>
  <c r="Y26"/>
  <c r="Y28"/>
  <c r="Y30"/>
  <c r="Y32"/>
  <c r="Y34"/>
  <c r="X23"/>
  <c r="X25"/>
  <c r="X27"/>
  <c r="X29"/>
  <c r="X31"/>
  <c r="X33"/>
  <c r="X35"/>
  <c r="X24"/>
  <c r="X26"/>
  <c r="X28"/>
  <c r="X30"/>
  <c r="X32"/>
  <c r="X34"/>
  <c r="U23"/>
  <c r="F17" i="5"/>
  <c r="H17"/>
  <c r="J17"/>
  <c r="L17"/>
  <c r="G17"/>
  <c r="I17"/>
  <c r="K17"/>
  <c r="M17"/>
  <c r="P23" i="4"/>
  <c r="O23"/>
  <c r="N33" l="1"/>
  <c r="N35"/>
  <c r="N34"/>
  <c r="N30"/>
  <c r="N32"/>
  <c r="N28"/>
  <c r="N29"/>
  <c r="F14" i="2"/>
  <c r="S27" i="4"/>
  <c r="S26"/>
  <c r="S35" s="1"/>
  <c r="S24"/>
  <c r="S28" s="1"/>
  <c r="S25"/>
  <c r="P26"/>
  <c r="P24"/>
  <c r="P27"/>
  <c r="U27" s="1"/>
  <c r="U31" s="1"/>
  <c r="P25"/>
  <c r="U25" s="1"/>
  <c r="O26"/>
  <c r="O24"/>
  <c r="O27"/>
  <c r="T27" s="1"/>
  <c r="T31" s="1"/>
  <c r="O25"/>
  <c r="T25" s="1"/>
  <c r="O35" l="1"/>
  <c r="O33"/>
  <c r="O34"/>
  <c r="T24"/>
  <c r="O32"/>
  <c r="U24"/>
  <c r="U30" s="1"/>
  <c r="P32"/>
  <c r="P30"/>
  <c r="T26"/>
  <c r="U26"/>
  <c r="U29" s="1"/>
  <c r="P35"/>
  <c r="F8" i="2"/>
  <c r="S34" i="4"/>
  <c r="S29"/>
  <c r="S30"/>
  <c r="S33"/>
  <c r="F9" i="2"/>
  <c r="U35" i="4"/>
  <c r="T30"/>
  <c r="T32"/>
  <c r="U32"/>
  <c r="T28"/>
  <c r="O29"/>
  <c r="P29"/>
  <c r="O31"/>
  <c r="P31"/>
  <c r="P28"/>
  <c r="P34"/>
  <c r="P33"/>
  <c r="O30"/>
  <c r="O28"/>
  <c r="U28" l="1"/>
  <c r="D10" i="2" s="1"/>
  <c r="D8"/>
  <c r="D9"/>
  <c r="U34" i="4"/>
  <c r="U33"/>
  <c r="D13" i="2" s="1"/>
  <c r="T34" i="4"/>
  <c r="T35"/>
  <c r="T33"/>
  <c r="T29"/>
  <c r="F11" i="2"/>
  <c r="F13"/>
  <c r="D14"/>
  <c r="D11"/>
  <c r="S32" i="4"/>
  <c r="F12" i="2" s="1"/>
  <c r="S31" i="4" l="1"/>
  <c r="D12" i="2" s="1"/>
  <c r="M12" i="4"/>
</calcChain>
</file>

<file path=xl/sharedStrings.xml><?xml version="1.0" encoding="utf-8"?>
<sst xmlns="http://schemas.openxmlformats.org/spreadsheetml/2006/main" count="1018" uniqueCount="213">
  <si>
    <t>职业</t>
  </si>
  <si>
    <t>职业</t>
    <phoneticPr fontId="1" type="noConversion"/>
  </si>
  <si>
    <t>战士</t>
  </si>
  <si>
    <t>战士</t>
    <phoneticPr fontId="1" type="noConversion"/>
  </si>
  <si>
    <t>弓箭</t>
  </si>
  <si>
    <t>弓箭</t>
    <phoneticPr fontId="1" type="noConversion"/>
  </si>
  <si>
    <t>法师</t>
  </si>
  <si>
    <t>法师</t>
    <phoneticPr fontId="1" type="noConversion"/>
  </si>
  <si>
    <t>体质</t>
  </si>
  <si>
    <t>体质</t>
    <phoneticPr fontId="1" type="noConversion"/>
  </si>
  <si>
    <t>力量</t>
  </si>
  <si>
    <t>力量</t>
    <phoneticPr fontId="1" type="noConversion"/>
  </si>
  <si>
    <t>敏捷</t>
  </si>
  <si>
    <t>敏捷</t>
    <phoneticPr fontId="1" type="noConversion"/>
  </si>
  <si>
    <t>智力</t>
  </si>
  <si>
    <t>智力</t>
    <phoneticPr fontId="1" type="noConversion"/>
  </si>
  <si>
    <t>总计</t>
    <phoneticPr fontId="1" type="noConversion"/>
  </si>
  <si>
    <t>总和</t>
  </si>
  <si>
    <t>属性点</t>
  </si>
  <si>
    <t>气血</t>
  </si>
  <si>
    <t>物攻</t>
  </si>
  <si>
    <t>物防</t>
  </si>
  <si>
    <t>法攻</t>
  </si>
  <si>
    <t>法防</t>
  </si>
  <si>
    <t>命中</t>
  </si>
  <si>
    <t>闪避</t>
  </si>
  <si>
    <t>暴击</t>
  </si>
  <si>
    <t>属性关系：</t>
    <phoneticPr fontId="1" type="noConversion"/>
  </si>
  <si>
    <t>等级</t>
    <phoneticPr fontId="1" type="noConversion"/>
  </si>
  <si>
    <t>角色属性：</t>
    <phoneticPr fontId="1" type="noConversion"/>
  </si>
  <si>
    <t>装备名</t>
    <phoneticPr fontId="1" type="noConversion"/>
  </si>
  <si>
    <t>体质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</si>
  <si>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</si>
  <si>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</si>
  <si>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</si>
  <si>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免暴</t>
    <phoneticPr fontId="1" type="noConversion"/>
  </si>
  <si>
    <t>怪物编号</t>
    <phoneticPr fontId="1" type="noConversion"/>
  </si>
  <si>
    <t>攻击类型</t>
    <phoneticPr fontId="1" type="noConversion"/>
  </si>
  <si>
    <t>职业</t>
    <phoneticPr fontId="1" type="noConversion"/>
  </si>
  <si>
    <t>地图开放等级</t>
    <phoneticPr fontId="1" type="noConversion"/>
  </si>
  <si>
    <t>已开放地图</t>
    <phoneticPr fontId="1" type="noConversion"/>
  </si>
  <si>
    <t>地图名</t>
    <phoneticPr fontId="1" type="noConversion"/>
  </si>
  <si>
    <t>青青湾</t>
  </si>
  <si>
    <t>青青湾</t>
    <phoneticPr fontId="1" type="noConversion"/>
  </si>
  <si>
    <t>极热沙漠</t>
  </si>
  <si>
    <t>荒漠绿洲</t>
  </si>
  <si>
    <t>焚烧之地</t>
  </si>
  <si>
    <t>库拉斯溪谷</t>
  </si>
  <si>
    <t>人物等级</t>
    <phoneticPr fontId="1" type="noConversion"/>
  </si>
  <si>
    <t>升级经验</t>
    <phoneticPr fontId="1" type="noConversion"/>
  </si>
  <si>
    <t>怪物经验</t>
    <phoneticPr fontId="1" type="noConversion"/>
  </si>
  <si>
    <t>经验</t>
    <phoneticPr fontId="1" type="noConversion"/>
  </si>
  <si>
    <t>杀一只怪所需回合数</t>
    <phoneticPr fontId="1" type="noConversion"/>
  </si>
  <si>
    <t>杀同级升级所需怪物数</t>
    <phoneticPr fontId="1" type="noConversion"/>
  </si>
  <si>
    <t>怪物取人物数值20%</t>
    <phoneticPr fontId="1" type="noConversion"/>
  </si>
  <si>
    <t>2级武器</t>
  </si>
  <si>
    <t>2级防具</t>
  </si>
  <si>
    <t>2级宝物</t>
  </si>
  <si>
    <t>3级武器</t>
  </si>
  <si>
    <t>3级防具</t>
  </si>
  <si>
    <t>3级宝物</t>
  </si>
  <si>
    <t>4级武器</t>
  </si>
  <si>
    <t>4级防具</t>
  </si>
  <si>
    <t>4级宝物</t>
  </si>
  <si>
    <t>5级武器</t>
  </si>
  <si>
    <t>5级防具</t>
  </si>
  <si>
    <t>5级宝物</t>
  </si>
  <si>
    <t>属性点对应二级属性：</t>
    <phoneticPr fontId="1" type="noConversion"/>
  </si>
  <si>
    <t>战士：</t>
    <phoneticPr fontId="1" type="noConversion"/>
  </si>
  <si>
    <t>弓箭：</t>
    <phoneticPr fontId="1" type="noConversion"/>
  </si>
  <si>
    <t>法师：</t>
    <phoneticPr fontId="1" type="noConversion"/>
  </si>
  <si>
    <t>战士装备基础属性：</t>
    <phoneticPr fontId="1" type="noConversion"/>
  </si>
  <si>
    <t>弓箭装备基础属性：</t>
    <phoneticPr fontId="1" type="noConversion"/>
  </si>
  <si>
    <t>法师装备基础属性：</t>
    <phoneticPr fontId="1" type="noConversion"/>
  </si>
  <si>
    <t>装备随机属性</t>
    <phoneticPr fontId="1" type="noConversion"/>
  </si>
  <si>
    <t>力量</t>
    <phoneticPr fontId="1" type="noConversion"/>
  </si>
  <si>
    <t>体质</t>
    <phoneticPr fontId="1" type="noConversion"/>
  </si>
  <si>
    <t>敏捷</t>
    <phoneticPr fontId="1" type="noConversion"/>
  </si>
  <si>
    <t>智力</t>
    <phoneticPr fontId="1" type="noConversion"/>
  </si>
  <si>
    <t>等级</t>
    <phoneticPr fontId="1" type="noConversion"/>
  </si>
  <si>
    <t>随机属性列表</t>
    <phoneticPr fontId="1" type="noConversion"/>
  </si>
  <si>
    <t>武器：</t>
    <phoneticPr fontId="1" type="noConversion"/>
  </si>
  <si>
    <t>装备名：</t>
    <phoneticPr fontId="1" type="noConversion"/>
  </si>
  <si>
    <t>等级：</t>
    <phoneticPr fontId="1" type="noConversion"/>
  </si>
  <si>
    <t>气血：</t>
    <phoneticPr fontId="1" type="noConversion"/>
  </si>
  <si>
    <t>部位：</t>
    <phoneticPr fontId="1" type="noConversion"/>
  </si>
  <si>
    <t>物攻：</t>
    <phoneticPr fontId="1" type="noConversion"/>
  </si>
  <si>
    <t>物防：</t>
    <phoneticPr fontId="1" type="noConversion"/>
  </si>
  <si>
    <t>法攻：</t>
    <phoneticPr fontId="1" type="noConversion"/>
  </si>
  <si>
    <t>法防：</t>
    <phoneticPr fontId="1" type="noConversion"/>
  </si>
  <si>
    <t>随机属性</t>
    <phoneticPr fontId="1" type="noConversion"/>
  </si>
  <si>
    <t>角色名：</t>
    <phoneticPr fontId="1" type="noConversion"/>
  </si>
  <si>
    <t>经验：</t>
    <phoneticPr fontId="1" type="noConversion"/>
  </si>
  <si>
    <t>职业：</t>
    <phoneticPr fontId="1" type="noConversion"/>
  </si>
  <si>
    <t>藏宝图：</t>
    <phoneticPr fontId="1" type="noConversion"/>
  </si>
  <si>
    <t>力量：</t>
    <phoneticPr fontId="1" type="noConversion"/>
  </si>
  <si>
    <t>敏捷：</t>
    <phoneticPr fontId="1" type="noConversion"/>
  </si>
  <si>
    <t>体质：</t>
    <phoneticPr fontId="1" type="noConversion"/>
  </si>
  <si>
    <t>智力：</t>
    <phoneticPr fontId="1" type="noConversion"/>
  </si>
  <si>
    <t>暴击：</t>
    <phoneticPr fontId="1" type="noConversion"/>
  </si>
  <si>
    <t>命中：</t>
    <phoneticPr fontId="1" type="noConversion"/>
  </si>
  <si>
    <t>闪避：</t>
    <phoneticPr fontId="1" type="noConversion"/>
  </si>
  <si>
    <t>免暴：</t>
    <phoneticPr fontId="1" type="noConversion"/>
  </si>
  <si>
    <t>装备名</t>
    <phoneticPr fontId="1" type="noConversion"/>
  </si>
  <si>
    <t>部位</t>
    <phoneticPr fontId="1" type="noConversion"/>
  </si>
  <si>
    <t>等级</t>
    <phoneticPr fontId="1" type="noConversion"/>
  </si>
  <si>
    <t>生成装备临时存放</t>
    <phoneticPr fontId="1" type="noConversion"/>
  </si>
  <si>
    <t>角色界面</t>
    <phoneticPr fontId="1" type="noConversion"/>
  </si>
  <si>
    <t>防具：</t>
    <phoneticPr fontId="1" type="noConversion"/>
  </si>
  <si>
    <t>宝物：</t>
    <phoneticPr fontId="1" type="noConversion"/>
  </si>
  <si>
    <t>包裹栏</t>
    <phoneticPr fontId="1" type="noConversion"/>
  </si>
  <si>
    <t>武器：</t>
    <phoneticPr fontId="1" type="noConversion"/>
  </si>
  <si>
    <t>防具：</t>
    <phoneticPr fontId="1" type="noConversion"/>
  </si>
  <si>
    <t>宝物：</t>
    <phoneticPr fontId="1" type="noConversion"/>
  </si>
  <si>
    <t>请输入编号：</t>
    <phoneticPr fontId="1" type="noConversion"/>
  </si>
  <si>
    <t>无</t>
    <phoneticPr fontId="1" type="noConversion"/>
  </si>
  <si>
    <t>人物总属性：</t>
    <phoneticPr fontId="1" type="noConversion"/>
  </si>
  <si>
    <t>装备属性：</t>
    <phoneticPr fontId="1" type="noConversion"/>
  </si>
  <si>
    <t>无</t>
    <phoneticPr fontId="1" type="noConversion"/>
  </si>
  <si>
    <t>升级经验</t>
    <phoneticPr fontId="1" type="noConversion"/>
  </si>
  <si>
    <t>1级宝物</t>
    <phoneticPr fontId="1" type="noConversion"/>
  </si>
  <si>
    <t>已开放地图：</t>
    <phoneticPr fontId="1" type="noConversion"/>
  </si>
  <si>
    <t>1级防具</t>
    <phoneticPr fontId="1" type="noConversion"/>
  </si>
  <si>
    <t>物理攻击</t>
    <phoneticPr fontId="1" type="noConversion"/>
  </si>
  <si>
    <t>法术攻击</t>
    <phoneticPr fontId="1" type="noConversion"/>
  </si>
  <si>
    <t>2级宝物</t>
    <phoneticPr fontId="1" type="noConversion"/>
  </si>
  <si>
    <t>点击次数</t>
    <phoneticPr fontId="1" type="noConversion"/>
  </si>
  <si>
    <t>总点击次数</t>
    <phoneticPr fontId="1" type="noConversion"/>
  </si>
  <si>
    <t>职业</t>
    <phoneticPr fontId="1" type="noConversion"/>
  </si>
  <si>
    <t>平衡</t>
    <phoneticPr fontId="1" type="noConversion"/>
  </si>
  <si>
    <t>战</t>
    <phoneticPr fontId="1" type="noConversion"/>
  </si>
  <si>
    <t>弓</t>
    <phoneticPr fontId="1" type="noConversion"/>
  </si>
  <si>
    <t>法</t>
    <phoneticPr fontId="1" type="noConversion"/>
  </si>
  <si>
    <t>角色初始属性点分配：</t>
    <phoneticPr fontId="1" type="noConversion"/>
  </si>
  <si>
    <t>角色升级属性点自动分配：</t>
    <phoneticPr fontId="1" type="noConversion"/>
  </si>
  <si>
    <t>角色初始属性：</t>
    <phoneticPr fontId="1" type="noConversion"/>
  </si>
  <si>
    <t>角色成长属性</t>
    <phoneticPr fontId="1" type="noConversion"/>
  </si>
  <si>
    <t>等级</t>
  </si>
  <si>
    <t>等级</t>
    <phoneticPr fontId="1" type="noConversion"/>
  </si>
  <si>
    <t>体质</t>
    <phoneticPr fontId="1" type="noConversion"/>
  </si>
  <si>
    <t>力量</t>
    <phoneticPr fontId="1" type="noConversion"/>
  </si>
  <si>
    <t>敏捷</t>
    <phoneticPr fontId="1" type="noConversion"/>
  </si>
  <si>
    <t>智力</t>
    <phoneticPr fontId="1" type="noConversion"/>
  </si>
  <si>
    <t>气血</t>
    <phoneticPr fontId="1" type="noConversion"/>
  </si>
  <si>
    <t>物攻</t>
    <phoneticPr fontId="1" type="noConversion"/>
  </si>
  <si>
    <t>物防</t>
    <phoneticPr fontId="1" type="noConversion"/>
  </si>
  <si>
    <t>法攻</t>
    <phoneticPr fontId="1" type="noConversion"/>
  </si>
  <si>
    <t>法防</t>
    <phoneticPr fontId="1" type="noConversion"/>
  </si>
  <si>
    <t>命中</t>
    <phoneticPr fontId="1" type="noConversion"/>
  </si>
  <si>
    <t>闪避</t>
    <phoneticPr fontId="1" type="noConversion"/>
  </si>
  <si>
    <t>暴击</t>
    <phoneticPr fontId="1" type="noConversion"/>
  </si>
  <si>
    <t>战士</t>
    <phoneticPr fontId="1" type="noConversion"/>
  </si>
  <si>
    <t>平衡</t>
    <phoneticPr fontId="1" type="noConversion"/>
  </si>
  <si>
    <t>职业</t>
    <phoneticPr fontId="1" type="noConversion"/>
  </si>
  <si>
    <t>等级</t>
    <phoneticPr fontId="1" type="noConversion"/>
  </si>
  <si>
    <t>装备属性配比</t>
    <phoneticPr fontId="1" type="noConversion"/>
  </si>
  <si>
    <t>等级</t>
    <phoneticPr fontId="1" type="noConversion"/>
  </si>
  <si>
    <t>攻防配比</t>
    <phoneticPr fontId="1" type="noConversion"/>
  </si>
  <si>
    <t>武器</t>
    <phoneticPr fontId="1" type="noConversion"/>
  </si>
  <si>
    <t>防具</t>
    <phoneticPr fontId="1" type="noConversion"/>
  </si>
  <si>
    <t>气血</t>
    <phoneticPr fontId="1" type="noConversion"/>
  </si>
  <si>
    <t>攻击</t>
    <phoneticPr fontId="1" type="noConversion"/>
  </si>
  <si>
    <t>宝物</t>
    <phoneticPr fontId="1" type="noConversion"/>
  </si>
  <si>
    <t>防御</t>
    <phoneticPr fontId="1" type="noConversion"/>
  </si>
  <si>
    <t>装备生成等级：</t>
    <phoneticPr fontId="1" type="noConversion"/>
  </si>
  <si>
    <t>装备名</t>
    <phoneticPr fontId="1" type="noConversion"/>
  </si>
  <si>
    <t>法防</t>
    <phoneticPr fontId="1" type="noConversion"/>
  </si>
  <si>
    <t>1级武器</t>
  </si>
  <si>
    <t>1级武器</t>
    <phoneticPr fontId="1" type="noConversion"/>
  </si>
  <si>
    <t>1级防具</t>
  </si>
  <si>
    <t>1级防具</t>
    <phoneticPr fontId="1" type="noConversion"/>
  </si>
  <si>
    <t>1级宝物</t>
  </si>
  <si>
    <t>1级宝物</t>
    <phoneticPr fontId="1" type="noConversion"/>
  </si>
  <si>
    <t>气血</t>
    <phoneticPr fontId="1" type="noConversion"/>
  </si>
  <si>
    <t>物攻</t>
    <phoneticPr fontId="1" type="noConversion"/>
  </si>
  <si>
    <t>物防</t>
    <phoneticPr fontId="1" type="noConversion"/>
  </si>
  <si>
    <t>法攻</t>
    <phoneticPr fontId="1" type="noConversion"/>
  </si>
  <si>
    <t>随机属性占比：</t>
    <phoneticPr fontId="1" type="noConversion"/>
  </si>
  <si>
    <t>怪物属性配比</t>
    <phoneticPr fontId="1" type="noConversion"/>
  </si>
  <si>
    <t>1~5</t>
    <phoneticPr fontId="1" type="noConversion"/>
  </si>
  <si>
    <t>5~10</t>
    <phoneticPr fontId="1" type="noConversion"/>
  </si>
  <si>
    <t>10~15</t>
    <phoneticPr fontId="1" type="noConversion"/>
  </si>
  <si>
    <t>20~25</t>
    <phoneticPr fontId="1" type="noConversion"/>
  </si>
  <si>
    <t>25~30</t>
    <phoneticPr fontId="1" type="noConversion"/>
  </si>
  <si>
    <t>30~35</t>
    <phoneticPr fontId="1" type="noConversion"/>
  </si>
  <si>
    <t>35~40</t>
    <phoneticPr fontId="1" type="noConversion"/>
  </si>
  <si>
    <t>40~45</t>
    <phoneticPr fontId="1" type="noConversion"/>
  </si>
  <si>
    <t>45~50</t>
    <phoneticPr fontId="1" type="noConversion"/>
  </si>
  <si>
    <t>boss</t>
    <phoneticPr fontId="1" type="noConversion"/>
  </si>
  <si>
    <t>15~20</t>
    <phoneticPr fontId="1" type="noConversion"/>
  </si>
  <si>
    <t>4级boss</t>
    <phoneticPr fontId="1" type="noConversion"/>
  </si>
  <si>
    <t>5级boss</t>
    <phoneticPr fontId="1" type="noConversion"/>
  </si>
  <si>
    <t>1级boss</t>
    <phoneticPr fontId="1" type="noConversion"/>
  </si>
  <si>
    <t>2级boss</t>
    <phoneticPr fontId="1" type="noConversion"/>
  </si>
  <si>
    <t>3级boss</t>
    <phoneticPr fontId="1" type="noConversion"/>
  </si>
  <si>
    <t>天边一朵云</t>
    <phoneticPr fontId="1" type="noConversion"/>
  </si>
  <si>
    <t>法师</t>
    <phoneticPr fontId="1" type="noConversion"/>
  </si>
  <si>
    <t>无</t>
    <phoneticPr fontId="1" type="noConversion"/>
  </si>
  <si>
    <t>无</t>
    <phoneticPr fontId="1" type="noConversion"/>
  </si>
  <si>
    <t>怪物已死亡！</t>
    <phoneticPr fontId="1" type="noConversion"/>
  </si>
  <si>
    <t>玩家对怪物发动法术攻击，但被怪物闪避成功，没有造成伤害。</t>
    <phoneticPr fontId="1" type="noConversion"/>
  </si>
  <si>
    <t>玩家对怪物发动法术攻击，攻击命中，造成了100点伤害，怪物剩余血量为-22</t>
    <phoneticPr fontId="1" type="noConversion"/>
  </si>
  <si>
    <t>玩家对怪物发动法术攻击，攻击命中，造成了101点伤害，怪物剩余血量为-23</t>
    <phoneticPr fontId="1" type="noConversion"/>
  </si>
  <si>
    <t>玩家对怪物发动法术攻击，攻击命中，造成了99点伤害，怪物剩余血量为-21</t>
    <phoneticPr fontId="1" type="noConversion"/>
  </si>
  <si>
    <t>怪物对玩家发动物理攻击，攻击命中，造成了22.5点伤害，玩家剩余血量为82</t>
    <phoneticPr fontId="1" type="noConversion"/>
  </si>
  <si>
    <t>玩家对怪物发动法术攻击，攻击命中，造成了102点伤害，怪物剩余血量为-24</t>
    <phoneticPr fontId="1" type="noConversion"/>
  </si>
  <si>
    <t>玩家对BOSS发动法术攻击，但被BOSS闪避成功，没有造成伤害。</t>
    <phoneticPr fontId="1" type="noConversion"/>
  </si>
  <si>
    <t>BOSS对玩家发动法术攻击，但被玩家闪避成功，没有造成伤害。</t>
    <phoneticPr fontId="1" type="noConversion"/>
  </si>
  <si>
    <t>玩家对BOSS发动法术攻击，攻击命中，造成了89点伤害，BOSS剩余血量为51</t>
    <phoneticPr fontId="1" type="noConversion"/>
  </si>
  <si>
    <t>BOSS对玩家发动法术攻击，攻击命中，造成了11.75点伤害，玩家剩余血量为93</t>
    <phoneticPr fontId="1" type="noConversion"/>
  </si>
  <si>
    <t>玩家对BOSS发动法术攻击，攻击命中，造成了89点伤害，BOSS剩余血量为-38</t>
    <phoneticPr fontId="1" type="noConversion"/>
  </si>
  <si>
    <t>BOSS已死亡</t>
    <phoneticPr fontId="1" type="noConversion"/>
  </si>
  <si>
    <t>玩家对怪物发动法术攻击，攻击命中，造成了109点伤害，怪物剩余血量为-25</t>
    <phoneticPr fontId="1" type="noConversion"/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</si>
</sst>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0.5"/>
      <color theme="1"/>
      <name val="Calibri"/>
      <family val="2"/>
    </font>
    <font>
      <sz val="10.5"/>
      <color theme="1"/>
      <name val="宋体"/>
      <family val="3"/>
      <charset val="134"/>
    </font>
    <font>
      <sz val="9"/>
      <color theme="1"/>
      <name val="宋体"/>
      <family val="3"/>
      <charset val="134"/>
    </font>
    <font>
      <sz val="12"/>
      <name val="宋体"/>
      <family val="3"/>
      <charset val="134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/>
  </cellStyleXfs>
  <cellXfs count="65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Border="1" applyAlignment="1">
      <alignment horizontal="justify" vertical="top" wrapText="1"/>
    </xf>
    <xf numFmtId="0" fontId="3" fillId="3" borderId="0" xfId="0" applyFont="1" applyFill="1" applyBorder="1" applyAlignment="1">
      <alignment horizontal="justify" vertical="top" wrapText="1"/>
    </xf>
    <xf numFmtId="0" fontId="2" fillId="3" borderId="0" xfId="0" applyFont="1" applyFill="1" applyBorder="1" applyAlignment="1">
      <alignment horizontal="justify" vertical="top" wrapText="1"/>
    </xf>
    <xf numFmtId="0" fontId="4" fillId="4" borderId="0" xfId="0" applyFont="1" applyFill="1" applyBorder="1" applyAlignment="1">
      <alignment horizontal="justify" vertical="top" wrapText="1"/>
    </xf>
    <xf numFmtId="0" fontId="3" fillId="4" borderId="0" xfId="0" applyFont="1" applyFill="1" applyBorder="1" applyAlignment="1">
      <alignment horizontal="justify" vertical="top" wrapText="1"/>
    </xf>
    <xf numFmtId="0" fontId="2" fillId="4" borderId="0" xfId="0" applyFont="1" applyFill="1" applyBorder="1" applyAlignment="1">
      <alignment horizontal="justify" vertical="top" wrapText="1"/>
    </xf>
    <xf numFmtId="0" fontId="0" fillId="5" borderId="0" xfId="0" applyFill="1">
      <alignment vertical="center"/>
    </xf>
    <xf numFmtId="0" fontId="3" fillId="5" borderId="0" xfId="0" applyFont="1" applyFill="1" applyBorder="1" applyAlignment="1">
      <alignment horizontal="justify" vertical="top" wrapText="1"/>
    </xf>
    <xf numFmtId="0" fontId="0" fillId="0" borderId="0" xfId="0" applyAlignment="1">
      <alignment vertical="center" wrapText="1"/>
    </xf>
    <xf numFmtId="0" fontId="0" fillId="0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9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3" fillId="12" borderId="0" xfId="0" applyFont="1" applyFill="1" applyBorder="1" applyAlignment="1">
      <alignment horizontal="justify" vertical="top" wrapText="1"/>
    </xf>
    <xf numFmtId="0" fontId="0" fillId="3" borderId="0" xfId="0" applyFill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0" xfId="0" applyFill="1">
      <alignment vertical="center"/>
    </xf>
    <xf numFmtId="0" fontId="0" fillId="14" borderId="0" xfId="0" applyFill="1">
      <alignment vertical="center"/>
    </xf>
    <xf numFmtId="0" fontId="3" fillId="5" borderId="0" xfId="0" applyFont="1" applyFill="1" applyBorder="1" applyAlignment="1">
      <alignment horizontal="center" vertical="top" wrapText="1"/>
    </xf>
    <xf numFmtId="0" fontId="3" fillId="16" borderId="0" xfId="0" applyFont="1" applyFill="1" applyBorder="1" applyAlignment="1">
      <alignment horizontal="center" vertical="top" wrapText="1"/>
    </xf>
    <xf numFmtId="0" fontId="0" fillId="4" borderId="0" xfId="0" applyFill="1" applyAlignment="1">
      <alignment horizontal="center" vertical="center"/>
    </xf>
    <xf numFmtId="0" fontId="3" fillId="4" borderId="0" xfId="0" applyFont="1" applyFill="1" applyBorder="1" applyAlignment="1">
      <alignment horizontal="center" vertical="top" wrapText="1"/>
    </xf>
    <xf numFmtId="0" fontId="0" fillId="0" borderId="0" xfId="0" applyAlignment="1">
      <alignment horizontal="left" vertical="center"/>
    </xf>
    <xf numFmtId="0" fontId="0" fillId="16" borderId="0" xfId="0" applyFill="1" applyAlignment="1">
      <alignment horizontal="center" vertical="center"/>
    </xf>
    <xf numFmtId="0" fontId="0" fillId="9" borderId="0" xfId="0" applyFill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8" borderId="0" xfId="0" applyFill="1" applyAlignment="1">
      <alignment horizontal="left" vertical="center"/>
    </xf>
    <xf numFmtId="0" fontId="0" fillId="17" borderId="0" xfId="0" applyFill="1" applyAlignment="1">
      <alignment horizontal="left" vertical="center"/>
    </xf>
    <xf numFmtId="0" fontId="0" fillId="15" borderId="0" xfId="0" applyFill="1" applyAlignment="1">
      <alignment horizontal="left" vertical="center"/>
    </xf>
    <xf numFmtId="0" fontId="0" fillId="17" borderId="0" xfId="0" applyFill="1" applyAlignment="1">
      <alignment vertical="center"/>
    </xf>
    <xf numFmtId="0" fontId="0" fillId="16" borderId="0" xfId="0" applyFill="1" applyAlignment="1">
      <alignment horizontal="left" vertical="center"/>
    </xf>
    <xf numFmtId="0" fontId="0" fillId="7" borderId="0" xfId="0" applyFill="1" applyAlignment="1">
      <alignment horizontal="left" vertical="center"/>
    </xf>
    <xf numFmtId="0" fontId="0" fillId="14" borderId="0" xfId="0" applyFill="1" applyAlignment="1">
      <alignment horizontal="left" vertical="center"/>
    </xf>
    <xf numFmtId="0" fontId="0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16" borderId="0" xfId="0" applyFont="1" applyFill="1" applyBorder="1" applyAlignment="1">
      <alignment horizontal="justify" vertical="top" wrapText="1"/>
    </xf>
    <xf numFmtId="0" fontId="0" fillId="16" borderId="0" xfId="0" applyFill="1">
      <alignment vertical="center"/>
    </xf>
    <xf numFmtId="0" fontId="0" fillId="18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4" fillId="4" borderId="0" xfId="0" applyFont="1" applyFill="1" applyBorder="1" applyAlignment="1">
      <alignment horizontal="center" vertical="top" wrapText="1"/>
    </xf>
    <xf numFmtId="0" fontId="0" fillId="19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58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2143;1429"/>
  <ax:ocxPr ax:name="Value" ax:value="0"/>
  <ax:ocxPr ax:name="Caption" ax:value="法师"/>
  <ax:ocxPr ax:name="GroupName" ax:value="Sheet1"/>
  <ax:ocxPr ax:name="FontName" ax:value="宋体"/>
  <ax:ocxPr ax:name="FontHeight" ax:value="225"/>
  <ax:ocxPr ax:name="FontCharSet" ax:value="134"/>
  <ax:ocxPr ax:name="FontPitchAndFamily" ax:value="34"/>
</ax:ocx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2064;1138"/>
  <ax:ocxPr ax:name="Value" ax:value="0"/>
  <ax:ocxPr ax:name="Caption" ax:value="弓箭"/>
  <ax:ocxPr ax:name="GroupName" ax:value="Sheet1"/>
  <ax:ocxPr ax:name="FontName" ax:value="宋体"/>
  <ax:ocxPr ax:name="FontHeight" ax:value="225"/>
  <ax:ocxPr ax:name="FontCharSet" ax:value="134"/>
  <ax:ocxPr ax:name="FontPitchAndFamily" ax:value="34"/>
</ax:ocx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PropertyBag">
  <ax:ocxPr ax:name="DisplayStyle" ax:value="5"/>
  <ax:ocxPr ax:name="Size" ax:value="2223;1164"/>
  <ax:ocxPr ax:name="Value" ax:value="0"/>
  <ax:ocxPr ax:name="Caption" ax:value="战士"/>
  <ax:ocxPr ax:name="GroupName" ax:value="Sheet1"/>
  <ax:ocxPr ax:name="FontName" ax:value="宋体"/>
  <ax:ocxPr ax:name="FontHeight" ax:value="225"/>
  <ax:ocxPr ax:name="FontCharSet" ax:value="134"/>
  <ax:ocxPr ax:name="FontPitchAndFamily" ax:value="34"/>
</ax:ocx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创建角色"/>
  <ax:ocxPr ax:name="Size" ax:value="4736;179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进入游戏"/>
  <ax:ocxPr ax:name="Size" ax:value="4128;1535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挑战BOSS"/>
  <ax:ocxPr ax:name="Size" ax:value="3889;1482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丢弃宝物"/>
  <ax:ocxPr ax:name="Size" ax:value="3598;1164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丢弃防具"/>
  <ax:ocxPr ax:name="Size" ax:value="3598;111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包裹栏清空"/>
  <ax:ocxPr ax:name="Size" ax:value="3493;142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密林探宝"/>
  <ax:ocxPr ax:name="Size" ax:value="4075;1535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清空战斗记录"/>
  <ax:ocxPr ax:name="Size" ax:value="3334;134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丛林探险"/>
  <ax:ocxPr ax:name="Size" ax:value="3863;1508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3.xml><?xml version="1.0" encoding="utf-8"?>
<ax:ocx xmlns:ax="http://schemas.microsoft.com/office/2006/activeX" xmlns:r="http://schemas.openxmlformats.org/officeDocument/2006/relationships" ax:classid="{DFD181E0-5E2F-11CE-A449-00AA004A803D}" ax:persistence="persistPropertyBag">
  <ax:ocxPr ax:name="Size" ax:value="661;8969"/>
  <ax:ocxPr ax:name="Min" ax:value="19"/>
  <ax:ocxPr ax:name="Max" ax:value="200"/>
  <ax:ocxPr ax:name="Position" ax:value="114"/>
</ax:ocx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将寻到的装备放到包裹栏"/>
  <ax:ocxPr ax:name="Size" ax:value="5239;1191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丢弃武器"/>
  <ax:ocxPr ax:name="Size" ax:value="3863;1085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生成怪物数值"/>
  <ax:ocxPr ax:name="Size" ax:value="4154;179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清除怪物数值"/>
  <ax:ocxPr ax:name="Size" ax:value="4101;172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随机属性生成"/>
  <ax:ocxPr ax:name="Size" ax:value="3201;1323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平衡属性计算"/>
  <ax:ocxPr ax:name="Size" ax:value="3149;1667"/>
  <ax:ocxPr ax:name="FontName" ax:value="宋体"/>
  <ax:ocxPr ax:name="FontHeight" ax:value="195"/>
  <ax:ocxPr ax:name="FontCharSet" ax:value="134"/>
  <ax:ocxPr ax:name="FontPitchAndFamily" ax:value="34"/>
  <ax:ocxPr ax:name="ParagraphAlign" ax:value="3"/>
</ax:ocx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战士属性生成"/>
  <ax:ocxPr ax:name="Size" ax:value="3307;1482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弓箭属性生成"/>
  <ax:ocxPr ax:name="Size" ax:value="3704;1429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法师属性生成"/>
  <ax:ocxPr ax:name="Size" ax:value="3334;1323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战士装备生成"/>
  <ax:ocxPr ax:name="Size" ax:value="3810;1535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弓箭装备生成"/>
  <ax:ocxPr ax:name="Size" ax:value="3598;1376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法师装备生成"/>
  <ax:ocxPr ax:name="Size" ax:value="4207;1640"/>
  <ax:ocxPr ax:name="FontName" ax:value="宋体"/>
  <ax:ocxPr ax:name="FontHeight" ax:value="225"/>
  <ax:ocxPr ax:name="FontCharSet" ax:value="134"/>
  <ax:ocxPr ax:name="FontPitchAndFamily" ax:value="34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>
        <c:manualLayout>
          <c:layoutTarget val="inner"/>
          <c:xMode val="edge"/>
          <c:yMode val="edge"/>
          <c:x val="0.10454396325459317"/>
          <c:y val="4.6770924467774859E-2"/>
          <c:w val="0.72859492563429584"/>
          <c:h val="0.82600284339460039"/>
        </c:manualLayout>
      </c:layout>
      <c:lineChart>
        <c:grouping val="standard"/>
        <c:ser>
          <c:idx val="0"/>
          <c:order val="0"/>
          <c:tx>
            <c:v>等级</c:v>
          </c:tx>
          <c:marker>
            <c:symbol val="none"/>
          </c:marker>
          <c:val>
            <c:numRef>
              <c:f>经验表!$B$2:$B$51</c:f>
              <c:numCache>
                <c:formatCode>General</c:formatCode>
                <c:ptCount val="50"/>
                <c:pt idx="0">
                  <c:v>20</c:v>
                </c:pt>
                <c:pt idx="1">
                  <c:v>22</c:v>
                </c:pt>
                <c:pt idx="2">
                  <c:v>52</c:v>
                </c:pt>
                <c:pt idx="3">
                  <c:v>182</c:v>
                </c:pt>
                <c:pt idx="4">
                  <c:v>532</c:v>
                </c:pt>
                <c:pt idx="5">
                  <c:v>1270</c:v>
                </c:pt>
                <c:pt idx="6">
                  <c:v>2612</c:v>
                </c:pt>
                <c:pt idx="7">
                  <c:v>4822</c:v>
                </c:pt>
                <c:pt idx="8">
                  <c:v>8212</c:v>
                </c:pt>
                <c:pt idx="9">
                  <c:v>13142</c:v>
                </c:pt>
                <c:pt idx="10">
                  <c:v>20020</c:v>
                </c:pt>
                <c:pt idx="11">
                  <c:v>29302</c:v>
                </c:pt>
                <c:pt idx="12">
                  <c:v>41492</c:v>
                </c:pt>
                <c:pt idx="13">
                  <c:v>57142</c:v>
                </c:pt>
                <c:pt idx="14">
                  <c:v>76852</c:v>
                </c:pt>
                <c:pt idx="15">
                  <c:v>101270</c:v>
                </c:pt>
                <c:pt idx="16">
                  <c:v>131092</c:v>
                </c:pt>
                <c:pt idx="17">
                  <c:v>167062</c:v>
                </c:pt>
                <c:pt idx="18">
                  <c:v>209972</c:v>
                </c:pt>
                <c:pt idx="19">
                  <c:v>260662</c:v>
                </c:pt>
                <c:pt idx="20">
                  <c:v>320020</c:v>
                </c:pt>
                <c:pt idx="21">
                  <c:v>388982</c:v>
                </c:pt>
                <c:pt idx="22">
                  <c:v>468532</c:v>
                </c:pt>
                <c:pt idx="23">
                  <c:v>559702</c:v>
                </c:pt>
                <c:pt idx="24">
                  <c:v>663572</c:v>
                </c:pt>
                <c:pt idx="25">
                  <c:v>781270</c:v>
                </c:pt>
                <c:pt idx="26">
                  <c:v>913972</c:v>
                </c:pt>
                <c:pt idx="27">
                  <c:v>1062902</c:v>
                </c:pt>
                <c:pt idx="28">
                  <c:v>1229332</c:v>
                </c:pt>
                <c:pt idx="29">
                  <c:v>1414582</c:v>
                </c:pt>
                <c:pt idx="30">
                  <c:v>1620020</c:v>
                </c:pt>
                <c:pt idx="31">
                  <c:v>1847062</c:v>
                </c:pt>
                <c:pt idx="32">
                  <c:v>2097172</c:v>
                </c:pt>
                <c:pt idx="33">
                  <c:v>2371862</c:v>
                </c:pt>
                <c:pt idx="34">
                  <c:v>2672692</c:v>
                </c:pt>
                <c:pt idx="35">
                  <c:v>3001270</c:v>
                </c:pt>
                <c:pt idx="36">
                  <c:v>3359252</c:v>
                </c:pt>
                <c:pt idx="37">
                  <c:v>3748342</c:v>
                </c:pt>
                <c:pt idx="38">
                  <c:v>4170292</c:v>
                </c:pt>
                <c:pt idx="39">
                  <c:v>4626902</c:v>
                </c:pt>
                <c:pt idx="40">
                  <c:v>5120020</c:v>
                </c:pt>
                <c:pt idx="41">
                  <c:v>5651542</c:v>
                </c:pt>
                <c:pt idx="42">
                  <c:v>6223412</c:v>
                </c:pt>
                <c:pt idx="43">
                  <c:v>6837622</c:v>
                </c:pt>
                <c:pt idx="44">
                  <c:v>7496212</c:v>
                </c:pt>
                <c:pt idx="45">
                  <c:v>8201270</c:v>
                </c:pt>
                <c:pt idx="46">
                  <c:v>8954932</c:v>
                </c:pt>
                <c:pt idx="47">
                  <c:v>9759382</c:v>
                </c:pt>
                <c:pt idx="48">
                  <c:v>10616852</c:v>
                </c:pt>
                <c:pt idx="49">
                  <c:v>11529622</c:v>
                </c:pt>
              </c:numCache>
            </c:numRef>
          </c:val>
        </c:ser>
        <c:marker val="1"/>
        <c:axId val="71478272"/>
        <c:axId val="71602944"/>
      </c:lineChart>
      <c:catAx>
        <c:axId val="71478272"/>
        <c:scaling>
          <c:orientation val="minMax"/>
        </c:scaling>
        <c:axPos val="b"/>
        <c:tickLblPos val="nextTo"/>
        <c:crossAx val="71602944"/>
        <c:crosses val="autoZero"/>
        <c:auto val="1"/>
        <c:lblAlgn val="ctr"/>
        <c:lblOffset val="100"/>
      </c:catAx>
      <c:valAx>
        <c:axId val="71602944"/>
        <c:scaling>
          <c:orientation val="minMax"/>
        </c:scaling>
        <c:axPos val="l"/>
        <c:majorGridlines/>
        <c:numFmt formatCode="General" sourceLinked="1"/>
        <c:tickLblPos val="nextTo"/>
        <c:crossAx val="71478272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chart>
    <c:autoTitleDeleted val="1"/>
    <c:plotArea>
      <c:layout/>
      <c:lineChart>
        <c:grouping val="standard"/>
        <c:ser>
          <c:idx val="0"/>
          <c:order val="0"/>
          <c:tx>
            <c:v>小时</c:v>
          </c:tx>
          <c:val>
            <c:numRef>
              <c:f>经验表!$E$2:$E$51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val>
        </c:ser>
        <c:marker val="1"/>
        <c:axId val="72333568"/>
        <c:axId val="80093952"/>
      </c:lineChart>
      <c:catAx>
        <c:axId val="72333568"/>
        <c:scaling>
          <c:orientation val="minMax"/>
        </c:scaling>
        <c:axPos val="b"/>
        <c:tickLblPos val="nextTo"/>
        <c:crossAx val="80093952"/>
        <c:crosses val="autoZero"/>
        <c:auto val="1"/>
        <c:lblAlgn val="ctr"/>
        <c:lblOffset val="100"/>
      </c:catAx>
      <c:valAx>
        <c:axId val="80093952"/>
        <c:scaling>
          <c:orientation val="minMax"/>
        </c:scaling>
        <c:axPos val="l"/>
        <c:majorGridlines/>
        <c:numFmt formatCode="General" sourceLinked="1"/>
        <c:tickLblPos val="nextTo"/>
        <c:crossAx val="72333568"/>
        <c:crosses val="autoZero"/>
        <c:crossBetween val="between"/>
      </c:valAx>
    </c:plotArea>
    <c:legend>
      <c:legendPos val="r"/>
    </c:legend>
    <c:plotVisOnly val="1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3.emf"/><Relationship Id="rId3" Type="http://schemas.openxmlformats.org/officeDocument/2006/relationships/image" Target="../media/image8.emf"/><Relationship Id="rId7" Type="http://schemas.openxmlformats.org/officeDocument/2006/relationships/image" Target="../media/image12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15.emf"/><Relationship Id="rId4" Type="http://schemas.openxmlformats.org/officeDocument/2006/relationships/image" Target="../media/image9.emf"/><Relationship Id="rId9" Type="http://schemas.openxmlformats.org/officeDocument/2006/relationships/image" Target="../media/image1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2</xdr:row>
      <xdr:rowOff>47625</xdr:rowOff>
    </xdr:from>
    <xdr:to>
      <xdr:col>14</xdr:col>
      <xdr:colOff>0</xdr:colOff>
      <xdr:row>18</xdr:row>
      <xdr:rowOff>47625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219075</xdr:colOff>
      <xdr:row>20</xdr:row>
      <xdr:rowOff>0</xdr:rowOff>
    </xdr:from>
    <xdr:to>
      <xdr:col>13</xdr:col>
      <xdr:colOff>676275</xdr:colOff>
      <xdr:row>36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control" Target="../activeX/activeX6.xml"/><Relationship Id="rId7" Type="http://schemas.openxmlformats.org/officeDocument/2006/relationships/control" Target="../activeX/activeX10.xml"/><Relationship Id="rId12" Type="http://schemas.openxmlformats.org/officeDocument/2006/relationships/control" Target="../activeX/activeX15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11" Type="http://schemas.openxmlformats.org/officeDocument/2006/relationships/control" Target="../activeX/activeX14.xml"/><Relationship Id="rId5" Type="http://schemas.openxmlformats.org/officeDocument/2006/relationships/control" Target="../activeX/activeX8.xml"/><Relationship Id="rId10" Type="http://schemas.openxmlformats.org/officeDocument/2006/relationships/control" Target="../activeX/activeX13.xml"/><Relationship Id="rId4" Type="http://schemas.openxmlformats.org/officeDocument/2006/relationships/control" Target="../activeX/activeX7.xml"/><Relationship Id="rId9" Type="http://schemas.openxmlformats.org/officeDocument/2006/relationships/control" Target="../activeX/activeX1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6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ntrol" Target="../activeX/activeX1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8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0.xml"/><Relationship Id="rId1" Type="http://schemas.openxmlformats.org/officeDocument/2006/relationships/vmlDrawing" Target="../drawings/vmlDrawing6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1.xml"/><Relationship Id="rId1" Type="http://schemas.openxmlformats.org/officeDocument/2006/relationships/vmlDrawing" Target="../drawings/vmlDrawing7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2.xml"/><Relationship Id="rId1" Type="http://schemas.openxmlformats.org/officeDocument/2006/relationships/vmlDrawing" Target="../drawings/vmlDrawing8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3.xml"/><Relationship Id="rId1" Type="http://schemas.openxmlformats.org/officeDocument/2006/relationships/vmlDrawing" Target="../drawings/vmlDrawing9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4.xml"/><Relationship Id="rId1" Type="http://schemas.openxmlformats.org/officeDocument/2006/relationships/vmlDrawing" Target="../drawings/vmlDrawing10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25.xml"/><Relationship Id="rId1" Type="http://schemas.openxmlformats.org/officeDocument/2006/relationships/vmlDrawing" Target="../drawings/vmlDrawing1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F8:L17"/>
  <sheetViews>
    <sheetView workbookViewId="0">
      <selection activeCell="I21" sqref="I21"/>
    </sheetView>
  </sheetViews>
  <sheetFormatPr defaultRowHeight="13.5"/>
  <sheetData>
    <row r="8" spans="6:12">
      <c r="H8" s="10"/>
    </row>
    <row r="10" spans="6:12">
      <c r="F10" s="10"/>
      <c r="I10" s="10"/>
      <c r="L10" s="10"/>
    </row>
    <row r="17" spans="9:9">
      <c r="I17" s="11"/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  <controls>
    <control shapeId="3078" r:id="rId3" name="OptionButton3"/>
    <control shapeId="3077" r:id="rId4" name="OptionButton2"/>
    <control shapeId="3076" r:id="rId5" name="OptionButton1"/>
    <control shapeId="3073" r:id="rId6" name="CommandButton1"/>
    <control shapeId="3080" r:id="rId7" name="CommandButton2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K37"/>
  <sheetViews>
    <sheetView tabSelected="1" topLeftCell="B1" workbookViewId="0">
      <selection activeCell="J12" sqref="J12"/>
    </sheetView>
  </sheetViews>
  <sheetFormatPr defaultRowHeight="13.5"/>
  <cols>
    <col min="1" max="1" width="10.25" customWidth="1"/>
    <col min="2" max="2" width="11" customWidth="1"/>
    <col min="3" max="3" width="11.125" customWidth="1"/>
    <col min="4" max="4" width="13.75" customWidth="1"/>
    <col min="5" max="5" width="11.25" customWidth="1"/>
    <col min="6" max="6" width="9.5" customWidth="1"/>
    <col min="8" max="8" width="13" customWidth="1"/>
    <col min="9" max="9" width="11" customWidth="1"/>
    <col min="11" max="11" width="68.625" customWidth="1"/>
  </cols>
  <sheetData>
    <row r="1" spans="1:11">
      <c r="K1" t="s">
        <v>199</v>
      </c>
    </row>
    <row r="2" spans="1:11">
      <c r="K2" t="s">
        <v>200</v>
      </c>
    </row>
    <row r="3" spans="1:11">
      <c r="A3" s="12"/>
      <c r="B3" s="12"/>
      <c r="C3" s="12" t="s">
        <v>107</v>
      </c>
      <c r="D3" s="12"/>
      <c r="E3" s="12"/>
      <c r="F3" s="12"/>
      <c r="K3" t="s">
        <v>204</v>
      </c>
    </row>
    <row r="4" spans="1:11">
      <c r="G4" s="47" t="s">
        <v>119</v>
      </c>
      <c r="K4" t="s">
        <v>202</v>
      </c>
    </row>
    <row r="5" spans="1:11">
      <c r="A5" s="8"/>
      <c r="B5" s="8"/>
      <c r="C5" s="15" t="s">
        <v>91</v>
      </c>
      <c r="D5" s="16" t="s">
        <v>195</v>
      </c>
      <c r="E5" s="16" t="s">
        <v>92</v>
      </c>
      <c r="F5" s="16">
        <v>1316</v>
      </c>
      <c r="G5" s="49">
        <f>VLOOKUP(D7,经验表!A2:B51,2,FALSE)</f>
        <v>13142</v>
      </c>
      <c r="K5" t="s">
        <v>199</v>
      </c>
    </row>
    <row r="6" spans="1:11">
      <c r="A6" s="8"/>
      <c r="B6" s="8"/>
      <c r="C6" s="15" t="s">
        <v>93</v>
      </c>
      <c r="D6" s="16" t="s">
        <v>196</v>
      </c>
      <c r="E6" s="16" t="s">
        <v>94</v>
      </c>
      <c r="F6" s="16">
        <v>1</v>
      </c>
      <c r="K6" t="s">
        <v>205</v>
      </c>
    </row>
    <row r="7" spans="1:11">
      <c r="A7" s="8"/>
      <c r="B7" s="8"/>
      <c r="C7" s="15" t="s">
        <v>83</v>
      </c>
      <c r="D7" s="16">
        <v>10</v>
      </c>
      <c r="E7" s="16"/>
      <c r="F7" s="16"/>
      <c r="K7" t="s">
        <v>199</v>
      </c>
    </row>
    <row r="8" spans="1:11">
      <c r="A8" s="8"/>
      <c r="B8" s="8"/>
      <c r="C8" s="15" t="s">
        <v>97</v>
      </c>
      <c r="D8" s="16">
        <f>HLOOKUP(D6,人物属性!R22:U36,3,FALSE)</f>
        <v>30</v>
      </c>
      <c r="E8" s="16" t="s">
        <v>95</v>
      </c>
      <c r="F8" s="16">
        <f>HLOOKUP(D6,人物属性!R22:U36,4,FALSE)</f>
        <v>20</v>
      </c>
      <c r="K8" t="s">
        <v>201</v>
      </c>
    </row>
    <row r="9" spans="1:11">
      <c r="A9" s="8"/>
      <c r="B9" s="8"/>
      <c r="C9" s="15" t="s">
        <v>96</v>
      </c>
      <c r="D9" s="16">
        <f>HLOOKUP(D6,人物属性!R22:U36,5,FALSE)</f>
        <v>30</v>
      </c>
      <c r="E9" s="16" t="s">
        <v>98</v>
      </c>
      <c r="F9" s="16">
        <f>HLOOKUP(D6,人物属性!R22:U36,6,FALSE)</f>
        <v>40</v>
      </c>
      <c r="K9" t="s">
        <v>199</v>
      </c>
    </row>
    <row r="10" spans="1:11">
      <c r="A10" s="8"/>
      <c r="B10" s="8"/>
      <c r="C10" s="15" t="s">
        <v>84</v>
      </c>
      <c r="D10" s="16">
        <f>HLOOKUP(D6,人物属性!R22:U36,7,FALSE)</f>
        <v>112.5</v>
      </c>
      <c r="E10" s="16"/>
      <c r="F10" s="16"/>
      <c r="H10" s="20" t="s">
        <v>121</v>
      </c>
      <c r="I10" s="20" t="s">
        <v>44</v>
      </c>
      <c r="K10" t="s">
        <v>203</v>
      </c>
    </row>
    <row r="11" spans="1:11">
      <c r="A11" s="8"/>
      <c r="B11" s="8"/>
      <c r="C11" s="15" t="s">
        <v>86</v>
      </c>
      <c r="D11" s="16">
        <f>HLOOKUP(D6,人物属性!R22:U36,8,FALSE)</f>
        <v>20</v>
      </c>
      <c r="E11" s="16" t="s">
        <v>87</v>
      </c>
      <c r="F11" s="16">
        <f>HLOOKUP(D6,人物属性!R22:U36,9,FALSE)</f>
        <v>10</v>
      </c>
      <c r="K11" t="s">
        <v>199</v>
      </c>
    </row>
    <row r="12" spans="1:11">
      <c r="A12" s="8"/>
      <c r="B12" s="8"/>
      <c r="C12" s="15" t="s">
        <v>88</v>
      </c>
      <c r="D12" s="16">
        <f>HLOOKUP(D6,人物属性!R22:U36,10,FALSE)</f>
        <v>120</v>
      </c>
      <c r="E12" s="16" t="s">
        <v>89</v>
      </c>
      <c r="F12" s="16">
        <f>HLOOKUP(D6,人物属性!R22:U36,11,FALSE)</f>
        <v>50</v>
      </c>
      <c r="K12" t="s">
        <v>206</v>
      </c>
    </row>
    <row r="13" spans="1:11">
      <c r="A13" s="8"/>
      <c r="B13" s="8"/>
      <c r="C13" s="15" t="s">
        <v>100</v>
      </c>
      <c r="D13" s="16">
        <f>HLOOKUP(D6,人物属性!R22:U36,12,FALSE)</f>
        <v>300</v>
      </c>
      <c r="E13" s="16" t="s">
        <v>101</v>
      </c>
      <c r="F13" s="16">
        <f>HLOOKUP(D6,人物属性!R22:U36,13,FALSE)</f>
        <v>60</v>
      </c>
      <c r="K13" t="s">
        <v>207</v>
      </c>
    </row>
    <row r="14" spans="1:11">
      <c r="A14" s="8"/>
      <c r="B14" s="8"/>
      <c r="C14" s="15" t="s">
        <v>99</v>
      </c>
      <c r="D14" s="16">
        <f>HLOOKUP(D6,人物属性!R22:U36,14,FALSE)</f>
        <v>30</v>
      </c>
      <c r="E14" s="16" t="s">
        <v>102</v>
      </c>
      <c r="F14" s="16">
        <f>HLOOKUP(D6,人物属性!R22:U36,15,FALSE)</f>
        <v>0</v>
      </c>
      <c r="K14" t="s">
        <v>208</v>
      </c>
    </row>
    <row r="15" spans="1:11">
      <c r="K15" t="s">
        <v>209</v>
      </c>
    </row>
    <row r="16" spans="1:11">
      <c r="A16" s="14"/>
      <c r="B16" s="14"/>
      <c r="C16" s="13"/>
      <c r="D16" s="13"/>
      <c r="E16" s="27"/>
      <c r="F16" s="27"/>
      <c r="G16" s="26" t="s">
        <v>82</v>
      </c>
      <c r="H16" s="26"/>
      <c r="I16" s="26" t="s">
        <v>85</v>
      </c>
      <c r="J16" s="26"/>
      <c r="K16" t="s">
        <v>210</v>
      </c>
    </row>
    <row r="17" spans="1:11">
      <c r="A17" s="14"/>
      <c r="B17" s="14"/>
      <c r="C17" s="13"/>
      <c r="D17" s="13"/>
      <c r="E17" s="27"/>
      <c r="F17" s="27"/>
      <c r="G17" s="15" t="s">
        <v>83</v>
      </c>
      <c r="H17" s="16"/>
      <c r="I17" s="34" t="s">
        <v>84</v>
      </c>
      <c r="J17" s="16"/>
      <c r="K17" t="s">
        <v>211</v>
      </c>
    </row>
    <row r="18" spans="1:11">
      <c r="A18" s="14"/>
      <c r="B18" s="14"/>
      <c r="C18" s="13"/>
      <c r="D18" s="13"/>
      <c r="E18" s="27"/>
      <c r="F18" s="27"/>
      <c r="G18" s="15" t="s">
        <v>86</v>
      </c>
      <c r="H18" s="16"/>
      <c r="I18" s="34" t="s">
        <v>87</v>
      </c>
      <c r="J18" s="16"/>
      <c r="K18" t="s">
        <v>212</v>
      </c>
    </row>
    <row r="19" spans="1:11">
      <c r="A19" s="14"/>
      <c r="B19" s="14"/>
      <c r="C19" s="13"/>
      <c r="D19" s="13"/>
      <c r="E19" s="27"/>
      <c r="F19" s="27"/>
      <c r="G19" s="15" t="s">
        <v>88</v>
      </c>
      <c r="H19" s="16"/>
      <c r="I19" s="34" t="s">
        <v>89</v>
      </c>
      <c r="J19" s="16"/>
      <c r="K19" t="s">
        <v>199</v>
      </c>
    </row>
    <row r="20" spans="1:11">
      <c r="A20" s="14" t="s">
        <v>81</v>
      </c>
      <c r="B20" s="40" t="s">
        <v>197</v>
      </c>
      <c r="C20" s="13" t="s">
        <v>108</v>
      </c>
      <c r="D20" s="45" t="s">
        <v>197</v>
      </c>
      <c r="E20" s="27" t="s">
        <v>109</v>
      </c>
      <c r="F20" s="46" t="s">
        <v>198</v>
      </c>
      <c r="G20" s="15" t="s">
        <v>90</v>
      </c>
      <c r="H20" s="16"/>
      <c r="I20" s="34"/>
      <c r="J20" s="16"/>
    </row>
    <row r="21" spans="1:11">
      <c r="A21" s="14"/>
      <c r="B21" s="14"/>
      <c r="C21" s="13"/>
      <c r="D21" s="13"/>
      <c r="E21" s="27"/>
      <c r="F21" s="27"/>
      <c r="G21" s="34"/>
      <c r="H21" s="16"/>
      <c r="I21" s="34"/>
      <c r="J21" s="16"/>
    </row>
    <row r="22" spans="1:11">
      <c r="A22" s="14"/>
      <c r="B22" s="14"/>
      <c r="C22" s="13"/>
      <c r="D22" s="13"/>
      <c r="E22" s="27"/>
      <c r="F22" s="27"/>
      <c r="G22" s="34"/>
      <c r="H22" s="16"/>
      <c r="I22" s="34"/>
      <c r="J22" s="16"/>
    </row>
    <row r="23" spans="1:11">
      <c r="A23" s="14"/>
      <c r="B23" s="14"/>
      <c r="C23" s="13"/>
      <c r="D23" s="13"/>
      <c r="E23" s="27"/>
      <c r="F23" s="27"/>
      <c r="G23" s="34"/>
      <c r="H23" s="16"/>
      <c r="I23" s="34"/>
      <c r="J23" s="16"/>
    </row>
    <row r="25" spans="1:11">
      <c r="A25" t="s">
        <v>110</v>
      </c>
      <c r="B25" s="44"/>
      <c r="D25" s="44"/>
      <c r="F25" s="44"/>
    </row>
    <row r="26" spans="1:11">
      <c r="A26" s="38" t="s">
        <v>111</v>
      </c>
      <c r="B26" s="40"/>
      <c r="C26" s="39" t="s">
        <v>112</v>
      </c>
      <c r="D26" s="41"/>
      <c r="E26" s="37" t="s">
        <v>113</v>
      </c>
      <c r="F26" s="42"/>
    </row>
    <row r="27" spans="1:11">
      <c r="A27" s="38" t="s">
        <v>111</v>
      </c>
      <c r="B27" s="40"/>
      <c r="C27" s="39" t="s">
        <v>112</v>
      </c>
      <c r="D27" s="41"/>
      <c r="E27" s="37" t="s">
        <v>113</v>
      </c>
      <c r="F27" s="42"/>
    </row>
    <row r="28" spans="1:11">
      <c r="A28" s="38" t="s">
        <v>111</v>
      </c>
      <c r="B28" s="40"/>
      <c r="C28" s="39" t="s">
        <v>112</v>
      </c>
      <c r="D28" s="41"/>
      <c r="E28" s="37" t="s">
        <v>113</v>
      </c>
      <c r="F28" s="42"/>
    </row>
    <row r="29" spans="1:11">
      <c r="A29" s="38" t="s">
        <v>111</v>
      </c>
      <c r="B29" s="40"/>
      <c r="C29" s="39" t="s">
        <v>112</v>
      </c>
      <c r="D29" s="41"/>
      <c r="E29" s="37" t="s">
        <v>113</v>
      </c>
      <c r="F29" s="42"/>
    </row>
    <row r="30" spans="1:11">
      <c r="A30" s="38" t="s">
        <v>111</v>
      </c>
      <c r="B30" s="40"/>
      <c r="C30" s="39" t="s">
        <v>112</v>
      </c>
      <c r="D30" s="41"/>
      <c r="E30" s="37" t="s">
        <v>113</v>
      </c>
      <c r="F30" s="42"/>
    </row>
    <row r="31" spans="1:11">
      <c r="A31" s="38" t="s">
        <v>111</v>
      </c>
      <c r="B31" s="40"/>
      <c r="C31" s="39" t="s">
        <v>112</v>
      </c>
      <c r="D31" s="41"/>
      <c r="E31" s="37" t="s">
        <v>113</v>
      </c>
      <c r="F31" s="42"/>
    </row>
    <row r="32" spans="1:11">
      <c r="A32" s="38" t="s">
        <v>111</v>
      </c>
      <c r="B32" s="40"/>
      <c r="C32" s="39" t="s">
        <v>112</v>
      </c>
      <c r="D32" s="41"/>
      <c r="E32" s="37" t="s">
        <v>113</v>
      </c>
      <c r="F32" s="42"/>
    </row>
    <row r="33" spans="1:6">
      <c r="A33" s="38" t="s">
        <v>111</v>
      </c>
      <c r="B33" s="40"/>
      <c r="C33" s="39" t="s">
        <v>112</v>
      </c>
      <c r="D33" s="41"/>
      <c r="E33" s="37" t="s">
        <v>113</v>
      </c>
      <c r="F33" s="42"/>
    </row>
    <row r="34" spans="1:6">
      <c r="A34" s="38" t="s">
        <v>111</v>
      </c>
      <c r="B34" s="40"/>
      <c r="C34" s="39" t="s">
        <v>112</v>
      </c>
      <c r="D34" s="41"/>
      <c r="E34" s="37" t="s">
        <v>113</v>
      </c>
      <c r="F34" s="42"/>
    </row>
    <row r="35" spans="1:6">
      <c r="A35" s="38" t="s">
        <v>111</v>
      </c>
      <c r="B35" s="40"/>
      <c r="C35" s="39" t="s">
        <v>112</v>
      </c>
      <c r="D35" s="41"/>
      <c r="E35" s="37" t="s">
        <v>113</v>
      </c>
      <c r="F35" s="42"/>
    </row>
    <row r="36" spans="1:6">
      <c r="B36" s="40" t="s">
        <v>115</v>
      </c>
      <c r="D36" s="41" t="s">
        <v>115</v>
      </c>
      <c r="F36" s="42" t="s">
        <v>115</v>
      </c>
    </row>
    <row r="37" spans="1:6">
      <c r="A37" s="40" t="s">
        <v>114</v>
      </c>
      <c r="B37" s="38"/>
      <c r="C37" s="43" t="s">
        <v>114</v>
      </c>
      <c r="D37" s="39"/>
      <c r="E37" s="42" t="s">
        <v>114</v>
      </c>
      <c r="F37" s="37"/>
    </row>
  </sheetData>
  <phoneticPr fontId="1" type="noConversion"/>
  <dataValidations count="4">
    <dataValidation type="list" allowBlank="1" showInputMessage="1" showErrorMessage="1" sqref="I10">
      <formula1>地图和怪物数值!B5:F5</formula1>
    </dataValidation>
    <dataValidation type="list" allowBlank="1" showInputMessage="1" showErrorMessage="1" sqref="F20">
      <formula1>$F$26:$F$36</formula1>
    </dataValidation>
    <dataValidation type="list" allowBlank="1" showInputMessage="1" showErrorMessage="1" sqref="D20">
      <formula1>$D$26:$D$36</formula1>
    </dataValidation>
    <dataValidation type="list" allowBlank="1" showInputMessage="1" showErrorMessage="1" sqref="B20">
      <formula1>$B$26:$B$36</formula1>
    </dataValidation>
  </dataValidations>
  <pageMargins left="0.7" right="0.7" top="0.75" bottom="0.75" header="0.3" footer="0.3"/>
  <pageSetup paperSize="9" orientation="portrait" horizontalDpi="200" verticalDpi="200" r:id="rId1"/>
  <legacyDrawing r:id="rId2"/>
  <controls>
    <control shapeId="4186" r:id="rId3" name="CommandButton9"/>
    <control shapeId="4184" r:id="rId4" name="CommandButton8"/>
    <control shapeId="4183" r:id="rId5" name="CommandButton7"/>
    <control shapeId="4181" r:id="rId6" name="CommandButton6"/>
    <control shapeId="4178" r:id="rId7" name="CommandButton4"/>
    <control shapeId="4175" r:id="rId8" name="CommandButton3"/>
    <control shapeId="4097" r:id="rId9" name="CommandButton1"/>
    <control shapeId="4174" r:id="rId10" name="ScrollBar1"/>
    <control shapeId="4179" r:id="rId11" name="CommandButton2"/>
    <control shapeId="4180" r:id="rId12" name="CommandButton5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S62"/>
  <sheetViews>
    <sheetView topLeftCell="C1" workbookViewId="0">
      <selection activeCell="Q13" sqref="Q13"/>
    </sheetView>
  </sheetViews>
  <sheetFormatPr defaultRowHeight="13.5"/>
  <cols>
    <col min="1" max="1" width="12.875" customWidth="1"/>
    <col min="2" max="2" width="11" customWidth="1"/>
    <col min="15" max="15" width="9.75" customWidth="1"/>
    <col min="16" max="16" width="11.375" customWidth="1"/>
    <col min="17" max="17" width="12.875" customWidth="1"/>
  </cols>
  <sheetData>
    <row r="2" spans="1:19">
      <c r="A2" s="19" t="s">
        <v>39</v>
      </c>
      <c r="B2" s="19">
        <v>0</v>
      </c>
      <c r="C2" s="19">
        <v>10</v>
      </c>
      <c r="D2" s="19">
        <v>20</v>
      </c>
      <c r="E2" s="19">
        <v>30</v>
      </c>
      <c r="F2" s="19">
        <v>40</v>
      </c>
    </row>
    <row r="3" spans="1:19" ht="16.5" customHeight="1">
      <c r="A3" s="19" t="s">
        <v>41</v>
      </c>
      <c r="B3" s="19" t="s">
        <v>43</v>
      </c>
      <c r="C3" s="19" t="s">
        <v>44</v>
      </c>
      <c r="D3" s="19" t="s">
        <v>45</v>
      </c>
      <c r="E3" s="19" t="s">
        <v>46</v>
      </c>
      <c r="F3" s="19" t="s">
        <v>47</v>
      </c>
    </row>
    <row r="5" spans="1:19">
      <c r="A5" s="20" t="s">
        <v>40</v>
      </c>
      <c r="B5" s="20" t="s">
        <v>42</v>
      </c>
      <c r="C5" s="20" t="s">
        <v>44</v>
      </c>
      <c r="D5" s="20"/>
      <c r="E5" s="20"/>
      <c r="F5" s="20"/>
    </row>
    <row r="6" spans="1:19">
      <c r="Q6" t="s">
        <v>178</v>
      </c>
      <c r="S6" t="s">
        <v>188</v>
      </c>
    </row>
    <row r="7" spans="1:19">
      <c r="A7" s="9" t="s">
        <v>36</v>
      </c>
      <c r="B7" s="9" t="s">
        <v>19</v>
      </c>
      <c r="C7" s="9" t="s">
        <v>20</v>
      </c>
      <c r="D7" s="9" t="s">
        <v>21</v>
      </c>
      <c r="E7" s="9" t="s">
        <v>22</v>
      </c>
      <c r="F7" s="9" t="s">
        <v>23</v>
      </c>
      <c r="G7" s="9" t="s">
        <v>24</v>
      </c>
      <c r="H7" s="9" t="s">
        <v>25</v>
      </c>
      <c r="I7" s="9" t="s">
        <v>26</v>
      </c>
      <c r="J7" s="9" t="s">
        <v>35</v>
      </c>
      <c r="K7" s="9" t="s">
        <v>37</v>
      </c>
      <c r="N7" s="9" t="s">
        <v>36</v>
      </c>
      <c r="O7">
        <v>0</v>
      </c>
      <c r="P7" s="62" t="s">
        <v>179</v>
      </c>
      <c r="Q7">
        <v>0.4</v>
      </c>
      <c r="R7">
        <v>10</v>
      </c>
      <c r="S7">
        <v>1</v>
      </c>
    </row>
    <row r="8" spans="1:19">
      <c r="A8" s="18">
        <v>1</v>
      </c>
      <c r="B8" s="18">
        <v>20</v>
      </c>
      <c r="C8" s="18">
        <v>8</v>
      </c>
      <c r="D8" s="18">
        <v>4</v>
      </c>
      <c r="E8" s="18">
        <v>8</v>
      </c>
      <c r="F8" s="18">
        <v>4</v>
      </c>
      <c r="G8" s="18">
        <v>40</v>
      </c>
      <c r="H8" s="18">
        <v>8</v>
      </c>
      <c r="I8" s="18">
        <v>4</v>
      </c>
      <c r="J8" s="18">
        <v>0</v>
      </c>
      <c r="K8" s="23" t="s">
        <v>123</v>
      </c>
      <c r="N8" s="9" t="s">
        <v>19</v>
      </c>
      <c r="O8" t="e">
        <f>VLOOKUP(O7,A7:K62,2,FALSE)</f>
        <v>#N/A</v>
      </c>
      <c r="P8" t="s">
        <v>180</v>
      </c>
      <c r="Q8">
        <v>0.6</v>
      </c>
      <c r="R8">
        <v>20</v>
      </c>
      <c r="S8">
        <v>1.5</v>
      </c>
    </row>
    <row r="9" spans="1:19">
      <c r="A9" s="18">
        <v>2</v>
      </c>
      <c r="B9" s="18">
        <v>24</v>
      </c>
      <c r="C9" s="18">
        <v>9</v>
      </c>
      <c r="D9" s="18">
        <v>4</v>
      </c>
      <c r="E9" s="18">
        <v>9</v>
      </c>
      <c r="F9" s="18">
        <v>4</v>
      </c>
      <c r="G9" s="18">
        <v>48</v>
      </c>
      <c r="H9" s="18">
        <v>9</v>
      </c>
      <c r="I9" s="18">
        <v>4</v>
      </c>
      <c r="J9" s="18">
        <v>0</v>
      </c>
      <c r="K9" s="23" t="s">
        <v>124</v>
      </c>
      <c r="N9" s="9" t="s">
        <v>20</v>
      </c>
      <c r="O9" t="e">
        <f>VLOOKUP(O7,A7:K62,3,FALSE)</f>
        <v>#N/A</v>
      </c>
      <c r="P9" t="s">
        <v>181</v>
      </c>
      <c r="Q9">
        <v>0.8</v>
      </c>
      <c r="R9">
        <v>30</v>
      </c>
      <c r="S9">
        <v>2</v>
      </c>
    </row>
    <row r="10" spans="1:19">
      <c r="A10" s="18">
        <v>3</v>
      </c>
      <c r="B10" s="18">
        <v>28</v>
      </c>
      <c r="C10" s="18">
        <v>11</v>
      </c>
      <c r="D10" s="18">
        <v>5</v>
      </c>
      <c r="E10" s="18">
        <v>11</v>
      </c>
      <c r="F10" s="18">
        <v>5</v>
      </c>
      <c r="G10" s="18">
        <v>56</v>
      </c>
      <c r="H10" s="18">
        <v>11</v>
      </c>
      <c r="I10" s="18">
        <v>5</v>
      </c>
      <c r="J10" s="18">
        <v>0</v>
      </c>
      <c r="K10" s="23" t="s">
        <v>123</v>
      </c>
      <c r="N10" s="9" t="s">
        <v>21</v>
      </c>
      <c r="O10" t="e">
        <f>VLOOKUP(O7,A7:K62,4,FALSE)</f>
        <v>#N/A</v>
      </c>
      <c r="P10" t="s">
        <v>189</v>
      </c>
      <c r="Q10">
        <v>1</v>
      </c>
      <c r="R10">
        <v>40</v>
      </c>
      <c r="S10">
        <v>2.5</v>
      </c>
    </row>
    <row r="11" spans="1:19">
      <c r="A11" s="18">
        <v>4</v>
      </c>
      <c r="B11" s="18">
        <v>32</v>
      </c>
      <c r="C11" s="18">
        <v>12</v>
      </c>
      <c r="D11" s="18">
        <v>6</v>
      </c>
      <c r="E11" s="18">
        <v>12</v>
      </c>
      <c r="F11" s="18">
        <v>6</v>
      </c>
      <c r="G11" s="18">
        <v>64</v>
      </c>
      <c r="H11" s="18">
        <v>12</v>
      </c>
      <c r="I11" s="18">
        <v>6</v>
      </c>
      <c r="J11" s="18">
        <v>0</v>
      </c>
      <c r="K11" s="23" t="s">
        <v>124</v>
      </c>
      <c r="N11" s="9" t="s">
        <v>22</v>
      </c>
      <c r="O11" t="e">
        <f>VLOOKUP(O7,A7:K62,5,FALSE)</f>
        <v>#N/A</v>
      </c>
      <c r="P11" t="s">
        <v>182</v>
      </c>
      <c r="Q11">
        <v>1.2</v>
      </c>
      <c r="R11">
        <v>50</v>
      </c>
      <c r="S11">
        <v>3</v>
      </c>
    </row>
    <row r="12" spans="1:19">
      <c r="A12" s="18">
        <v>5</v>
      </c>
      <c r="B12" s="18">
        <v>36</v>
      </c>
      <c r="C12" s="18">
        <v>14</v>
      </c>
      <c r="D12" s="18">
        <v>7</v>
      </c>
      <c r="E12" s="18">
        <v>14</v>
      </c>
      <c r="F12" s="18">
        <v>7</v>
      </c>
      <c r="G12" s="18">
        <v>72</v>
      </c>
      <c r="H12" s="18">
        <v>14</v>
      </c>
      <c r="I12" s="18">
        <v>7</v>
      </c>
      <c r="J12" s="18">
        <v>0</v>
      </c>
      <c r="K12" s="23" t="s">
        <v>123</v>
      </c>
      <c r="N12" s="9" t="s">
        <v>23</v>
      </c>
      <c r="O12" t="e">
        <f>VLOOKUP(O7,A7:K62,6,FALSE)</f>
        <v>#N/A</v>
      </c>
      <c r="P12" t="s">
        <v>183</v>
      </c>
      <c r="Q12">
        <v>1.4</v>
      </c>
    </row>
    <row r="13" spans="1:19">
      <c r="A13" s="18">
        <v>6</v>
      </c>
      <c r="B13" s="18">
        <v>60</v>
      </c>
      <c r="C13" s="18">
        <v>24</v>
      </c>
      <c r="D13" s="18">
        <v>12</v>
      </c>
      <c r="E13" s="18">
        <v>24</v>
      </c>
      <c r="F13" s="18">
        <v>12</v>
      </c>
      <c r="G13" s="18">
        <v>120</v>
      </c>
      <c r="H13" s="18">
        <v>24</v>
      </c>
      <c r="I13" s="18">
        <v>12</v>
      </c>
      <c r="J13" s="18">
        <v>0</v>
      </c>
      <c r="K13" s="23" t="s">
        <v>124</v>
      </c>
      <c r="N13" s="9" t="s">
        <v>24</v>
      </c>
      <c r="O13" t="e">
        <f>VLOOKUP(O7,A7:K62,7,FALSE)</f>
        <v>#N/A</v>
      </c>
      <c r="P13" t="s">
        <v>184</v>
      </c>
      <c r="Q13">
        <v>1.6</v>
      </c>
    </row>
    <row r="14" spans="1:19">
      <c r="A14" s="18">
        <v>7</v>
      </c>
      <c r="B14" s="18">
        <v>66</v>
      </c>
      <c r="C14" s="18">
        <v>26</v>
      </c>
      <c r="D14" s="18">
        <v>13</v>
      </c>
      <c r="E14" s="18">
        <v>26</v>
      </c>
      <c r="F14" s="18">
        <v>13</v>
      </c>
      <c r="G14" s="18">
        <v>132</v>
      </c>
      <c r="H14" s="18">
        <v>26</v>
      </c>
      <c r="I14" s="18">
        <v>13</v>
      </c>
      <c r="J14" s="18">
        <v>0</v>
      </c>
      <c r="K14" s="23" t="s">
        <v>123</v>
      </c>
      <c r="N14" s="9" t="s">
        <v>25</v>
      </c>
      <c r="O14" t="e">
        <f>VLOOKUP(O7,A7:K62,8,FALSE)</f>
        <v>#N/A</v>
      </c>
      <c r="P14" t="s">
        <v>185</v>
      </c>
      <c r="Q14">
        <v>1.8</v>
      </c>
    </row>
    <row r="15" spans="1:19">
      <c r="A15" s="18">
        <v>8</v>
      </c>
      <c r="B15" s="18">
        <v>72</v>
      </c>
      <c r="C15" s="18">
        <v>28</v>
      </c>
      <c r="D15" s="18">
        <v>14</v>
      </c>
      <c r="E15" s="18">
        <v>28</v>
      </c>
      <c r="F15" s="18">
        <v>14</v>
      </c>
      <c r="G15" s="18">
        <v>144</v>
      </c>
      <c r="H15" s="18">
        <v>28</v>
      </c>
      <c r="I15" s="18">
        <v>14</v>
      </c>
      <c r="J15" s="18">
        <v>0</v>
      </c>
      <c r="K15" s="23" t="s">
        <v>124</v>
      </c>
      <c r="N15" s="9" t="s">
        <v>26</v>
      </c>
      <c r="O15" t="e">
        <f>VLOOKUP(O7,A7:K62,9,FALSE)</f>
        <v>#N/A</v>
      </c>
      <c r="P15" t="s">
        <v>186</v>
      </c>
      <c r="Q15">
        <v>2</v>
      </c>
    </row>
    <row r="16" spans="1:19">
      <c r="A16" s="18">
        <v>9</v>
      </c>
      <c r="B16" s="18">
        <v>78</v>
      </c>
      <c r="C16" s="18">
        <v>31</v>
      </c>
      <c r="D16" s="18">
        <v>15</v>
      </c>
      <c r="E16" s="18">
        <v>31</v>
      </c>
      <c r="F16" s="18">
        <v>15</v>
      </c>
      <c r="G16" s="18">
        <v>156</v>
      </c>
      <c r="H16" s="18">
        <v>31</v>
      </c>
      <c r="I16" s="18">
        <v>15</v>
      </c>
      <c r="J16" s="18">
        <v>0</v>
      </c>
      <c r="K16" s="23" t="s">
        <v>123</v>
      </c>
      <c r="N16" s="9" t="s">
        <v>35</v>
      </c>
      <c r="O16" t="e">
        <f>VLOOKUP(O7,A7:K62,10,FALSE)</f>
        <v>#N/A</v>
      </c>
      <c r="P16" t="s">
        <v>187</v>
      </c>
      <c r="Q16">
        <v>2.2000000000000002</v>
      </c>
    </row>
    <row r="17" spans="1:15">
      <c r="A17" s="17">
        <v>10</v>
      </c>
      <c r="B17" s="17">
        <v>84</v>
      </c>
      <c r="C17" s="17">
        <v>33</v>
      </c>
      <c r="D17" s="17">
        <v>16</v>
      </c>
      <c r="E17" s="17">
        <v>33</v>
      </c>
      <c r="F17" s="17">
        <v>16</v>
      </c>
      <c r="G17" s="17">
        <v>168</v>
      </c>
      <c r="H17" s="17">
        <v>33</v>
      </c>
      <c r="I17" s="17">
        <v>16</v>
      </c>
      <c r="J17" s="18">
        <v>0</v>
      </c>
      <c r="K17" s="23" t="s">
        <v>124</v>
      </c>
      <c r="N17" s="9" t="s">
        <v>37</v>
      </c>
      <c r="O17" t="e">
        <f>VLOOKUP(O7,A7:K62,11,FALSE)</f>
        <v>#N/A</v>
      </c>
    </row>
    <row r="18" spans="1:15">
      <c r="A18" s="18">
        <v>11</v>
      </c>
      <c r="B18" s="18">
        <v>120</v>
      </c>
      <c r="C18" s="18">
        <v>48</v>
      </c>
      <c r="D18" s="18">
        <v>24</v>
      </c>
      <c r="E18" s="18">
        <v>48</v>
      </c>
      <c r="F18" s="18">
        <v>24</v>
      </c>
      <c r="G18" s="18">
        <v>240</v>
      </c>
      <c r="H18" s="18">
        <v>48</v>
      </c>
      <c r="I18" s="18">
        <v>24</v>
      </c>
      <c r="J18" s="18">
        <v>0</v>
      </c>
      <c r="K18" s="23" t="s">
        <v>123</v>
      </c>
      <c r="N18" s="9" t="s">
        <v>51</v>
      </c>
      <c r="O18" t="e">
        <f>VLOOKUP(O7,经验表!A1:G51,7,FALSE)</f>
        <v>#N/A</v>
      </c>
    </row>
    <row r="19" spans="1:15">
      <c r="A19" s="18">
        <v>12</v>
      </c>
      <c r="B19" s="18">
        <v>128</v>
      </c>
      <c r="C19" s="18">
        <v>51</v>
      </c>
      <c r="D19" s="18">
        <v>25</v>
      </c>
      <c r="E19" s="18">
        <v>51</v>
      </c>
      <c r="F19" s="18">
        <v>25</v>
      </c>
      <c r="G19" s="18">
        <v>256</v>
      </c>
      <c r="H19" s="18">
        <v>51</v>
      </c>
      <c r="I19" s="18">
        <v>25</v>
      </c>
      <c r="J19" s="18">
        <v>0</v>
      </c>
      <c r="K19" s="23" t="s">
        <v>124</v>
      </c>
    </row>
    <row r="20" spans="1:15">
      <c r="A20" s="18">
        <v>13</v>
      </c>
      <c r="B20" s="18">
        <v>136</v>
      </c>
      <c r="C20" s="18">
        <v>54</v>
      </c>
      <c r="D20" s="18">
        <v>27</v>
      </c>
      <c r="E20" s="18">
        <v>54</v>
      </c>
      <c r="F20" s="18">
        <v>27</v>
      </c>
      <c r="G20" s="18">
        <v>272</v>
      </c>
      <c r="H20" s="18">
        <v>54</v>
      </c>
      <c r="I20" s="18">
        <v>27</v>
      </c>
      <c r="J20" s="18">
        <v>0</v>
      </c>
      <c r="K20" s="23" t="s">
        <v>123</v>
      </c>
    </row>
    <row r="21" spans="1:15">
      <c r="A21" s="18">
        <v>14</v>
      </c>
      <c r="B21" s="18">
        <v>144</v>
      </c>
      <c r="C21" s="18">
        <v>57</v>
      </c>
      <c r="D21" s="18">
        <v>28</v>
      </c>
      <c r="E21" s="18">
        <v>57</v>
      </c>
      <c r="F21" s="18">
        <v>28</v>
      </c>
      <c r="G21" s="18">
        <v>288</v>
      </c>
      <c r="H21" s="18">
        <v>57</v>
      </c>
      <c r="I21" s="18">
        <v>28</v>
      </c>
      <c r="J21" s="18">
        <v>0</v>
      </c>
      <c r="K21" s="23" t="s">
        <v>124</v>
      </c>
    </row>
    <row r="22" spans="1:15">
      <c r="A22" s="18">
        <v>15</v>
      </c>
      <c r="B22" s="18">
        <v>152</v>
      </c>
      <c r="C22" s="18">
        <v>60</v>
      </c>
      <c r="D22" s="18">
        <v>30</v>
      </c>
      <c r="E22" s="18">
        <v>60</v>
      </c>
      <c r="F22" s="18">
        <v>30</v>
      </c>
      <c r="G22" s="18">
        <v>304</v>
      </c>
      <c r="H22" s="18">
        <v>60</v>
      </c>
      <c r="I22" s="18">
        <v>30</v>
      </c>
      <c r="J22" s="18">
        <v>0</v>
      </c>
      <c r="K22" s="23" t="s">
        <v>123</v>
      </c>
    </row>
    <row r="23" spans="1:15">
      <c r="A23" s="18">
        <v>16</v>
      </c>
      <c r="B23" s="18">
        <v>200</v>
      </c>
      <c r="C23" s="18">
        <v>80</v>
      </c>
      <c r="D23" s="18">
        <v>40</v>
      </c>
      <c r="E23" s="18">
        <v>80</v>
      </c>
      <c r="F23" s="18">
        <v>40</v>
      </c>
      <c r="G23" s="18">
        <v>400</v>
      </c>
      <c r="H23" s="18">
        <v>80</v>
      </c>
      <c r="I23" s="18">
        <v>40</v>
      </c>
      <c r="J23" s="18">
        <v>0</v>
      </c>
      <c r="K23" s="23" t="s">
        <v>123</v>
      </c>
    </row>
    <row r="24" spans="1:15">
      <c r="A24" s="18">
        <v>17</v>
      </c>
      <c r="B24" s="18">
        <v>210</v>
      </c>
      <c r="C24" s="18">
        <v>84</v>
      </c>
      <c r="D24" s="18">
        <v>42</v>
      </c>
      <c r="E24" s="18">
        <v>84</v>
      </c>
      <c r="F24" s="18">
        <v>42</v>
      </c>
      <c r="G24" s="18">
        <v>420</v>
      </c>
      <c r="H24" s="18">
        <v>84</v>
      </c>
      <c r="I24" s="18">
        <v>42</v>
      </c>
      <c r="J24" s="18">
        <v>0</v>
      </c>
      <c r="K24" s="23" t="s">
        <v>124</v>
      </c>
    </row>
    <row r="25" spans="1:15">
      <c r="A25" s="18">
        <v>18</v>
      </c>
      <c r="B25" s="18">
        <v>220</v>
      </c>
      <c r="C25" s="18">
        <v>88</v>
      </c>
      <c r="D25" s="18">
        <v>44</v>
      </c>
      <c r="E25" s="18">
        <v>88</v>
      </c>
      <c r="F25" s="18">
        <v>44</v>
      </c>
      <c r="G25" s="18">
        <v>440</v>
      </c>
      <c r="H25" s="18">
        <v>88</v>
      </c>
      <c r="I25" s="18">
        <v>44</v>
      </c>
      <c r="J25" s="18">
        <v>0</v>
      </c>
      <c r="K25" s="23" t="s">
        <v>123</v>
      </c>
    </row>
    <row r="26" spans="1:15">
      <c r="A26" s="18">
        <v>19</v>
      </c>
      <c r="B26" s="18">
        <v>230</v>
      </c>
      <c r="C26" s="18">
        <v>92</v>
      </c>
      <c r="D26" s="18">
        <v>46</v>
      </c>
      <c r="E26" s="18">
        <v>92</v>
      </c>
      <c r="F26" s="18">
        <v>46</v>
      </c>
      <c r="G26" s="18">
        <v>460</v>
      </c>
      <c r="H26" s="18">
        <v>92</v>
      </c>
      <c r="I26" s="18">
        <v>46</v>
      </c>
      <c r="J26" s="18">
        <v>0</v>
      </c>
      <c r="K26" s="23" t="s">
        <v>124</v>
      </c>
    </row>
    <row r="27" spans="1:15">
      <c r="A27" s="17">
        <v>20</v>
      </c>
      <c r="B27" s="17">
        <v>240</v>
      </c>
      <c r="C27" s="17">
        <v>96</v>
      </c>
      <c r="D27" s="17">
        <v>48</v>
      </c>
      <c r="E27" s="17">
        <v>96</v>
      </c>
      <c r="F27" s="17">
        <v>48</v>
      </c>
      <c r="G27" s="17">
        <v>480</v>
      </c>
      <c r="H27" s="17">
        <v>96</v>
      </c>
      <c r="I27" s="17">
        <v>48</v>
      </c>
      <c r="J27" s="18">
        <v>0</v>
      </c>
      <c r="K27" s="23" t="s">
        <v>123</v>
      </c>
    </row>
    <row r="28" spans="1:15">
      <c r="A28" s="18">
        <v>21</v>
      </c>
      <c r="B28" s="18">
        <v>300</v>
      </c>
      <c r="C28" s="18">
        <v>120</v>
      </c>
      <c r="D28" s="18">
        <v>60</v>
      </c>
      <c r="E28" s="18">
        <v>120</v>
      </c>
      <c r="F28" s="18">
        <v>60</v>
      </c>
      <c r="G28" s="18">
        <v>600</v>
      </c>
      <c r="H28" s="18">
        <v>120</v>
      </c>
      <c r="I28" s="18">
        <v>60</v>
      </c>
      <c r="J28" s="18">
        <v>0</v>
      </c>
      <c r="K28" s="23" t="s">
        <v>124</v>
      </c>
    </row>
    <row r="29" spans="1:15">
      <c r="A29" s="18">
        <v>22</v>
      </c>
      <c r="B29" s="18">
        <v>312</v>
      </c>
      <c r="C29" s="18">
        <v>124</v>
      </c>
      <c r="D29" s="18">
        <v>62</v>
      </c>
      <c r="E29" s="18">
        <v>124</v>
      </c>
      <c r="F29" s="18">
        <v>62</v>
      </c>
      <c r="G29" s="18">
        <v>624</v>
      </c>
      <c r="H29" s="18">
        <v>124</v>
      </c>
      <c r="I29" s="18">
        <v>62</v>
      </c>
      <c r="J29" s="18">
        <v>0</v>
      </c>
      <c r="K29" s="23" t="s">
        <v>123</v>
      </c>
    </row>
    <row r="30" spans="1:15">
      <c r="A30" s="18">
        <v>23</v>
      </c>
      <c r="B30" s="18">
        <v>324</v>
      </c>
      <c r="C30" s="18">
        <v>129</v>
      </c>
      <c r="D30" s="18">
        <v>64</v>
      </c>
      <c r="E30" s="18">
        <v>129</v>
      </c>
      <c r="F30" s="18">
        <v>64</v>
      </c>
      <c r="G30" s="18">
        <v>648</v>
      </c>
      <c r="H30" s="18">
        <v>129</v>
      </c>
      <c r="I30" s="18">
        <v>64</v>
      </c>
      <c r="J30" s="18">
        <v>0</v>
      </c>
      <c r="K30" s="23" t="s">
        <v>124</v>
      </c>
    </row>
    <row r="31" spans="1:15">
      <c r="A31" s="18">
        <v>24</v>
      </c>
      <c r="B31" s="18">
        <v>336</v>
      </c>
      <c r="C31" s="18">
        <v>134</v>
      </c>
      <c r="D31" s="18">
        <v>67</v>
      </c>
      <c r="E31" s="18">
        <v>134</v>
      </c>
      <c r="F31" s="18">
        <v>67</v>
      </c>
      <c r="G31" s="18">
        <v>672</v>
      </c>
      <c r="H31" s="18">
        <v>134</v>
      </c>
      <c r="I31" s="18">
        <v>67</v>
      </c>
      <c r="J31" s="18">
        <v>0</v>
      </c>
      <c r="K31" s="23" t="s">
        <v>123</v>
      </c>
    </row>
    <row r="32" spans="1:15">
      <c r="A32" s="18">
        <v>25</v>
      </c>
      <c r="B32" s="18">
        <v>348</v>
      </c>
      <c r="C32" s="18">
        <v>139</v>
      </c>
      <c r="D32" s="18">
        <v>69</v>
      </c>
      <c r="E32" s="18">
        <v>139</v>
      </c>
      <c r="F32" s="18">
        <v>69</v>
      </c>
      <c r="G32" s="18">
        <v>696</v>
      </c>
      <c r="H32" s="18">
        <v>139</v>
      </c>
      <c r="I32" s="18">
        <v>69</v>
      </c>
      <c r="J32" s="18">
        <v>0</v>
      </c>
      <c r="K32" s="23" t="s">
        <v>124</v>
      </c>
    </row>
    <row r="33" spans="1:11">
      <c r="A33" s="18">
        <v>26</v>
      </c>
      <c r="B33" s="18">
        <v>420</v>
      </c>
      <c r="C33" s="18">
        <v>168</v>
      </c>
      <c r="D33" s="18">
        <v>84</v>
      </c>
      <c r="E33" s="18">
        <v>168</v>
      </c>
      <c r="F33" s="18">
        <v>84</v>
      </c>
      <c r="G33" s="18">
        <v>840</v>
      </c>
      <c r="H33" s="18">
        <v>168</v>
      </c>
      <c r="I33" s="18">
        <v>84</v>
      </c>
      <c r="J33" s="18">
        <v>0</v>
      </c>
      <c r="K33" s="23" t="s">
        <v>123</v>
      </c>
    </row>
    <row r="34" spans="1:11">
      <c r="A34" s="18">
        <v>27</v>
      </c>
      <c r="B34" s="18">
        <v>434</v>
      </c>
      <c r="C34" s="18">
        <v>173</v>
      </c>
      <c r="D34" s="18">
        <v>86</v>
      </c>
      <c r="E34" s="18">
        <v>173</v>
      </c>
      <c r="F34" s="18">
        <v>86</v>
      </c>
      <c r="G34" s="18">
        <v>868</v>
      </c>
      <c r="H34" s="18">
        <v>173</v>
      </c>
      <c r="I34" s="18">
        <v>86</v>
      </c>
      <c r="J34" s="18">
        <v>0</v>
      </c>
      <c r="K34" s="23" t="s">
        <v>124</v>
      </c>
    </row>
    <row r="35" spans="1:11">
      <c r="A35" s="18">
        <v>28</v>
      </c>
      <c r="B35" s="18">
        <v>448</v>
      </c>
      <c r="C35" s="18">
        <v>179</v>
      </c>
      <c r="D35" s="18">
        <v>89</v>
      </c>
      <c r="E35" s="18">
        <v>179</v>
      </c>
      <c r="F35" s="18">
        <v>89</v>
      </c>
      <c r="G35" s="18">
        <v>896</v>
      </c>
      <c r="H35" s="18">
        <v>179</v>
      </c>
      <c r="I35" s="18">
        <v>89</v>
      </c>
      <c r="J35" s="18">
        <v>0</v>
      </c>
      <c r="K35" s="23" t="s">
        <v>123</v>
      </c>
    </row>
    <row r="36" spans="1:11">
      <c r="A36" s="18">
        <v>29</v>
      </c>
      <c r="B36" s="18">
        <v>461</v>
      </c>
      <c r="C36" s="18">
        <v>184</v>
      </c>
      <c r="D36" s="18">
        <v>92</v>
      </c>
      <c r="E36" s="18">
        <v>184</v>
      </c>
      <c r="F36" s="18">
        <v>92</v>
      </c>
      <c r="G36" s="18">
        <v>923</v>
      </c>
      <c r="H36" s="18">
        <v>184</v>
      </c>
      <c r="I36" s="18">
        <v>92</v>
      </c>
      <c r="J36" s="18">
        <v>0</v>
      </c>
      <c r="K36" s="23" t="s">
        <v>124</v>
      </c>
    </row>
    <row r="37" spans="1:11">
      <c r="A37" s="17">
        <v>30</v>
      </c>
      <c r="B37" s="17">
        <v>475</v>
      </c>
      <c r="C37" s="17">
        <v>190</v>
      </c>
      <c r="D37" s="17">
        <v>95</v>
      </c>
      <c r="E37" s="17">
        <v>190</v>
      </c>
      <c r="F37" s="17">
        <v>95</v>
      </c>
      <c r="G37" s="17">
        <v>951</v>
      </c>
      <c r="H37" s="17">
        <v>190</v>
      </c>
      <c r="I37" s="17">
        <v>95</v>
      </c>
      <c r="J37" s="18">
        <v>0</v>
      </c>
      <c r="K37" s="23" t="s">
        <v>123</v>
      </c>
    </row>
    <row r="38" spans="1:11">
      <c r="A38" s="18">
        <v>31</v>
      </c>
      <c r="B38" s="18">
        <v>560</v>
      </c>
      <c r="C38" s="18">
        <v>224</v>
      </c>
      <c r="D38" s="18">
        <v>112</v>
      </c>
      <c r="E38" s="18">
        <v>224</v>
      </c>
      <c r="F38" s="18">
        <v>112</v>
      </c>
      <c r="G38" s="18">
        <v>1120</v>
      </c>
      <c r="H38" s="18">
        <v>224</v>
      </c>
      <c r="I38" s="18">
        <v>112</v>
      </c>
      <c r="J38" s="18">
        <v>0</v>
      </c>
      <c r="K38" s="23" t="s">
        <v>123</v>
      </c>
    </row>
    <row r="39" spans="1:11">
      <c r="A39" s="18">
        <v>32</v>
      </c>
      <c r="B39" s="18">
        <v>576</v>
      </c>
      <c r="C39" s="18">
        <v>230</v>
      </c>
      <c r="D39" s="18">
        <v>115</v>
      </c>
      <c r="E39" s="18">
        <v>230</v>
      </c>
      <c r="F39" s="18">
        <v>115</v>
      </c>
      <c r="G39" s="18">
        <v>1152</v>
      </c>
      <c r="H39" s="18">
        <v>230</v>
      </c>
      <c r="I39" s="18">
        <v>115</v>
      </c>
      <c r="J39" s="18">
        <v>0</v>
      </c>
      <c r="K39" s="23" t="s">
        <v>124</v>
      </c>
    </row>
    <row r="40" spans="1:11">
      <c r="A40" s="18">
        <v>33</v>
      </c>
      <c r="B40" s="18">
        <v>592</v>
      </c>
      <c r="C40" s="18">
        <v>236</v>
      </c>
      <c r="D40" s="18">
        <v>118</v>
      </c>
      <c r="E40" s="18">
        <v>236</v>
      </c>
      <c r="F40" s="18">
        <v>118</v>
      </c>
      <c r="G40" s="18">
        <v>1184</v>
      </c>
      <c r="H40" s="18">
        <v>236</v>
      </c>
      <c r="I40" s="18">
        <v>118</v>
      </c>
      <c r="J40" s="18">
        <v>0</v>
      </c>
      <c r="K40" s="23" t="s">
        <v>123</v>
      </c>
    </row>
    <row r="41" spans="1:11">
      <c r="A41" s="18">
        <v>34</v>
      </c>
      <c r="B41" s="18">
        <v>608</v>
      </c>
      <c r="C41" s="18">
        <v>243</v>
      </c>
      <c r="D41" s="18">
        <v>121</v>
      </c>
      <c r="E41" s="18">
        <v>243</v>
      </c>
      <c r="F41" s="18">
        <v>121</v>
      </c>
      <c r="G41" s="18">
        <v>1216</v>
      </c>
      <c r="H41" s="18">
        <v>243</v>
      </c>
      <c r="I41" s="18">
        <v>121</v>
      </c>
      <c r="J41" s="18">
        <v>0</v>
      </c>
      <c r="K41" s="23" t="s">
        <v>124</v>
      </c>
    </row>
    <row r="42" spans="1:11">
      <c r="A42" s="18">
        <v>35</v>
      </c>
      <c r="B42" s="18">
        <v>624</v>
      </c>
      <c r="C42" s="18">
        <v>249</v>
      </c>
      <c r="D42" s="18">
        <v>124</v>
      </c>
      <c r="E42" s="18">
        <v>249</v>
      </c>
      <c r="F42" s="18">
        <v>124</v>
      </c>
      <c r="G42" s="18">
        <v>1248</v>
      </c>
      <c r="H42" s="18">
        <v>249</v>
      </c>
      <c r="I42" s="18">
        <v>124</v>
      </c>
      <c r="J42" s="18">
        <v>0</v>
      </c>
      <c r="K42" s="23" t="s">
        <v>123</v>
      </c>
    </row>
    <row r="43" spans="1:11">
      <c r="A43" s="18">
        <v>36</v>
      </c>
      <c r="B43" s="18">
        <v>720</v>
      </c>
      <c r="C43" s="18">
        <v>288</v>
      </c>
      <c r="D43" s="18">
        <v>144</v>
      </c>
      <c r="E43" s="18">
        <v>288</v>
      </c>
      <c r="F43" s="18">
        <v>144</v>
      </c>
      <c r="G43" s="18">
        <v>1440</v>
      </c>
      <c r="H43" s="18">
        <v>288</v>
      </c>
      <c r="I43" s="18">
        <v>144</v>
      </c>
      <c r="J43" s="18">
        <v>0</v>
      </c>
      <c r="K43" s="23" t="s">
        <v>124</v>
      </c>
    </row>
    <row r="44" spans="1:11">
      <c r="A44" s="18">
        <v>37</v>
      </c>
      <c r="B44" s="18">
        <v>738</v>
      </c>
      <c r="C44" s="18">
        <v>295</v>
      </c>
      <c r="D44" s="18">
        <v>147</v>
      </c>
      <c r="E44" s="18">
        <v>295</v>
      </c>
      <c r="F44" s="18">
        <v>147</v>
      </c>
      <c r="G44" s="18">
        <v>1476</v>
      </c>
      <c r="H44" s="18">
        <v>295</v>
      </c>
      <c r="I44" s="18">
        <v>147</v>
      </c>
      <c r="J44" s="18">
        <v>0</v>
      </c>
      <c r="K44" s="23" t="s">
        <v>123</v>
      </c>
    </row>
    <row r="45" spans="1:11">
      <c r="A45" s="18">
        <v>38</v>
      </c>
      <c r="B45" s="18">
        <v>756</v>
      </c>
      <c r="C45" s="18">
        <v>302</v>
      </c>
      <c r="D45" s="18">
        <v>151</v>
      </c>
      <c r="E45" s="18">
        <v>302</v>
      </c>
      <c r="F45" s="18">
        <v>151</v>
      </c>
      <c r="G45" s="18">
        <v>1512</v>
      </c>
      <c r="H45" s="18">
        <v>302</v>
      </c>
      <c r="I45" s="18">
        <v>151</v>
      </c>
      <c r="J45" s="18">
        <v>0</v>
      </c>
      <c r="K45" s="23" t="s">
        <v>124</v>
      </c>
    </row>
    <row r="46" spans="1:11">
      <c r="A46" s="18">
        <v>39</v>
      </c>
      <c r="B46" s="18">
        <v>774</v>
      </c>
      <c r="C46" s="18">
        <v>309</v>
      </c>
      <c r="D46" s="18">
        <v>154</v>
      </c>
      <c r="E46" s="18">
        <v>309</v>
      </c>
      <c r="F46" s="18">
        <v>154</v>
      </c>
      <c r="G46" s="18">
        <v>1548</v>
      </c>
      <c r="H46" s="18">
        <v>309</v>
      </c>
      <c r="I46" s="18">
        <v>154</v>
      </c>
      <c r="J46" s="18">
        <v>0</v>
      </c>
      <c r="K46" s="23" t="s">
        <v>123</v>
      </c>
    </row>
    <row r="47" spans="1:11">
      <c r="A47" s="17">
        <v>40</v>
      </c>
      <c r="B47" s="17">
        <v>792</v>
      </c>
      <c r="C47" s="17">
        <v>316</v>
      </c>
      <c r="D47" s="17">
        <v>158</v>
      </c>
      <c r="E47" s="17">
        <v>316</v>
      </c>
      <c r="F47" s="17">
        <v>158</v>
      </c>
      <c r="G47" s="17">
        <v>1584</v>
      </c>
      <c r="H47" s="17">
        <v>316</v>
      </c>
      <c r="I47" s="17">
        <v>158</v>
      </c>
      <c r="J47" s="18">
        <v>0</v>
      </c>
      <c r="K47" s="23" t="s">
        <v>124</v>
      </c>
    </row>
    <row r="48" spans="1:11">
      <c r="A48" s="18">
        <v>41</v>
      </c>
      <c r="B48" s="18">
        <v>900</v>
      </c>
      <c r="C48" s="18">
        <v>360</v>
      </c>
      <c r="D48" s="18">
        <v>180</v>
      </c>
      <c r="E48" s="18">
        <v>360</v>
      </c>
      <c r="F48" s="18">
        <v>180</v>
      </c>
      <c r="G48" s="18">
        <v>1800</v>
      </c>
      <c r="H48" s="18">
        <v>360</v>
      </c>
      <c r="I48" s="18">
        <v>180</v>
      </c>
      <c r="J48" s="18">
        <v>0</v>
      </c>
      <c r="K48" s="23" t="s">
        <v>123</v>
      </c>
    </row>
    <row r="49" spans="1:14">
      <c r="A49" s="18">
        <v>42</v>
      </c>
      <c r="B49" s="18">
        <v>920</v>
      </c>
      <c r="C49" s="18">
        <v>368</v>
      </c>
      <c r="D49" s="18">
        <v>184</v>
      </c>
      <c r="E49" s="18">
        <v>368</v>
      </c>
      <c r="F49" s="18">
        <v>184</v>
      </c>
      <c r="G49" s="18">
        <v>1840</v>
      </c>
      <c r="H49" s="18">
        <v>368</v>
      </c>
      <c r="I49" s="18">
        <v>184</v>
      </c>
      <c r="J49" s="18">
        <v>0</v>
      </c>
      <c r="K49" s="23" t="s">
        <v>124</v>
      </c>
    </row>
    <row r="50" spans="1:14">
      <c r="A50" s="18">
        <v>43</v>
      </c>
      <c r="B50" s="18">
        <v>940</v>
      </c>
      <c r="C50" s="18">
        <v>376</v>
      </c>
      <c r="D50" s="18">
        <v>188</v>
      </c>
      <c r="E50" s="18">
        <v>376</v>
      </c>
      <c r="F50" s="18">
        <v>188</v>
      </c>
      <c r="G50" s="18">
        <v>1880</v>
      </c>
      <c r="H50" s="18">
        <v>376</v>
      </c>
      <c r="I50" s="18">
        <v>188</v>
      </c>
      <c r="J50" s="18">
        <v>0</v>
      </c>
      <c r="K50" s="23" t="s">
        <v>123</v>
      </c>
    </row>
    <row r="51" spans="1:14">
      <c r="A51" s="18">
        <v>44</v>
      </c>
      <c r="B51" s="18">
        <v>960</v>
      </c>
      <c r="C51" s="18">
        <v>384</v>
      </c>
      <c r="D51" s="18">
        <v>192</v>
      </c>
      <c r="E51" s="18">
        <v>384</v>
      </c>
      <c r="F51" s="18">
        <v>192</v>
      </c>
      <c r="G51" s="18">
        <v>1920</v>
      </c>
      <c r="H51" s="18">
        <v>384</v>
      </c>
      <c r="I51" s="18">
        <v>192</v>
      </c>
      <c r="J51" s="18">
        <v>0</v>
      </c>
      <c r="K51" s="23" t="s">
        <v>124</v>
      </c>
    </row>
    <row r="52" spans="1:14">
      <c r="A52" s="18">
        <v>45</v>
      </c>
      <c r="B52" s="18">
        <v>980</v>
      </c>
      <c r="C52" s="18">
        <v>392</v>
      </c>
      <c r="D52" s="18">
        <v>196</v>
      </c>
      <c r="E52" s="18">
        <v>392</v>
      </c>
      <c r="F52" s="18">
        <v>196</v>
      </c>
      <c r="G52" s="18">
        <v>1960</v>
      </c>
      <c r="H52" s="18">
        <v>392</v>
      </c>
      <c r="I52" s="18">
        <v>196</v>
      </c>
      <c r="J52" s="18">
        <v>0</v>
      </c>
      <c r="K52" s="23" t="s">
        <v>123</v>
      </c>
    </row>
    <row r="53" spans="1:14">
      <c r="A53" s="18">
        <v>46</v>
      </c>
      <c r="B53" s="18">
        <v>1100</v>
      </c>
      <c r="C53" s="18">
        <v>440</v>
      </c>
      <c r="D53" s="18">
        <v>220</v>
      </c>
      <c r="E53" s="18">
        <v>440</v>
      </c>
      <c r="F53" s="18">
        <v>220</v>
      </c>
      <c r="G53" s="18">
        <v>2200</v>
      </c>
      <c r="H53" s="18">
        <v>440</v>
      </c>
      <c r="I53" s="18">
        <v>220</v>
      </c>
      <c r="J53" s="18">
        <v>0</v>
      </c>
      <c r="K53" s="23" t="s">
        <v>123</v>
      </c>
    </row>
    <row r="54" spans="1:14">
      <c r="A54" s="18">
        <v>47</v>
      </c>
      <c r="B54" s="18">
        <v>1122</v>
      </c>
      <c r="C54" s="18">
        <v>448</v>
      </c>
      <c r="D54" s="18">
        <v>224</v>
      </c>
      <c r="E54" s="18">
        <v>448</v>
      </c>
      <c r="F54" s="18">
        <v>224</v>
      </c>
      <c r="G54" s="18">
        <v>2244</v>
      </c>
      <c r="H54" s="18">
        <v>448</v>
      </c>
      <c r="I54" s="18">
        <v>224</v>
      </c>
      <c r="J54" s="18">
        <v>0</v>
      </c>
      <c r="K54" s="23" t="s">
        <v>124</v>
      </c>
    </row>
    <row r="55" spans="1:14">
      <c r="A55" s="18">
        <v>48</v>
      </c>
      <c r="B55" s="18">
        <v>1144</v>
      </c>
      <c r="C55" s="18">
        <v>457</v>
      </c>
      <c r="D55" s="18">
        <v>228</v>
      </c>
      <c r="E55" s="18">
        <v>457</v>
      </c>
      <c r="F55" s="18">
        <v>228</v>
      </c>
      <c r="G55" s="18">
        <v>2288</v>
      </c>
      <c r="H55" s="18">
        <v>457</v>
      </c>
      <c r="I55" s="18">
        <v>228</v>
      </c>
      <c r="J55" s="18">
        <v>0</v>
      </c>
      <c r="K55" s="23" t="s">
        <v>123</v>
      </c>
    </row>
    <row r="56" spans="1:14">
      <c r="A56" s="18">
        <v>49</v>
      </c>
      <c r="B56" s="18">
        <v>1166</v>
      </c>
      <c r="C56" s="18">
        <v>466</v>
      </c>
      <c r="D56" s="18">
        <v>233</v>
      </c>
      <c r="E56" s="18">
        <v>466</v>
      </c>
      <c r="F56" s="18">
        <v>233</v>
      </c>
      <c r="G56" s="18">
        <v>2332</v>
      </c>
      <c r="H56" s="18">
        <v>466</v>
      </c>
      <c r="I56" s="18">
        <v>233</v>
      </c>
      <c r="J56" s="18">
        <v>0</v>
      </c>
      <c r="K56" s="23" t="s">
        <v>124</v>
      </c>
    </row>
    <row r="57" spans="1:14">
      <c r="A57" s="17">
        <v>50</v>
      </c>
      <c r="B57" s="17">
        <v>1188</v>
      </c>
      <c r="C57" s="17">
        <v>475</v>
      </c>
      <c r="D57" s="17">
        <v>237</v>
      </c>
      <c r="E57" s="17">
        <v>475</v>
      </c>
      <c r="F57" s="17">
        <v>237</v>
      </c>
      <c r="G57" s="17">
        <v>2376</v>
      </c>
      <c r="H57" s="17">
        <v>475</v>
      </c>
      <c r="I57" s="17">
        <v>237</v>
      </c>
      <c r="J57" s="18">
        <v>0</v>
      </c>
      <c r="K57" s="23" t="s">
        <v>123</v>
      </c>
    </row>
    <row r="58" spans="1:14" s="51" customFormat="1">
      <c r="A58" s="52" t="s">
        <v>192</v>
      </c>
      <c r="B58" s="52">
        <v>140</v>
      </c>
      <c r="C58" s="52">
        <v>56</v>
      </c>
      <c r="D58" s="52">
        <v>28</v>
      </c>
      <c r="E58" s="52">
        <v>56</v>
      </c>
      <c r="F58" s="52">
        <v>28</v>
      </c>
      <c r="G58" s="52">
        <v>280</v>
      </c>
      <c r="H58" s="52">
        <v>56</v>
      </c>
      <c r="I58" s="52">
        <v>28</v>
      </c>
      <c r="J58" s="18">
        <v>0</v>
      </c>
      <c r="K58" s="23" t="s">
        <v>124</v>
      </c>
      <c r="N58" s="50"/>
    </row>
    <row r="59" spans="1:14" s="51" customFormat="1">
      <c r="A59" s="52" t="s">
        <v>193</v>
      </c>
      <c r="B59" s="52">
        <v>360</v>
      </c>
      <c r="C59" s="52">
        <v>144</v>
      </c>
      <c r="D59" s="52">
        <v>72</v>
      </c>
      <c r="E59" s="52">
        <v>144</v>
      </c>
      <c r="F59" s="52">
        <v>72</v>
      </c>
      <c r="G59" s="52">
        <v>720</v>
      </c>
      <c r="H59" s="52">
        <v>144</v>
      </c>
      <c r="I59" s="52">
        <v>72</v>
      </c>
      <c r="J59" s="18">
        <v>0</v>
      </c>
      <c r="K59" s="23" t="s">
        <v>123</v>
      </c>
    </row>
    <row r="60" spans="1:14" s="51" customFormat="1">
      <c r="A60" s="52" t="s">
        <v>194</v>
      </c>
      <c r="B60" s="52">
        <v>680</v>
      </c>
      <c r="C60" s="52">
        <v>272</v>
      </c>
      <c r="D60" s="52">
        <v>136</v>
      </c>
      <c r="E60" s="52">
        <v>272</v>
      </c>
      <c r="F60" s="52">
        <v>136</v>
      </c>
      <c r="G60" s="52">
        <v>1360</v>
      </c>
      <c r="H60" s="52">
        <v>272</v>
      </c>
      <c r="I60" s="52">
        <v>136</v>
      </c>
      <c r="J60" s="18">
        <v>0</v>
      </c>
      <c r="K60" s="23" t="s">
        <v>124</v>
      </c>
    </row>
    <row r="61" spans="1:14" s="51" customFormat="1">
      <c r="A61" s="52" t="s">
        <v>190</v>
      </c>
      <c r="B61" s="52">
        <v>1100</v>
      </c>
      <c r="C61" s="52">
        <v>440</v>
      </c>
      <c r="D61" s="52">
        <v>220</v>
      </c>
      <c r="E61" s="52">
        <v>440</v>
      </c>
      <c r="F61" s="52">
        <v>220</v>
      </c>
      <c r="G61" s="52">
        <v>2200</v>
      </c>
      <c r="H61" s="52">
        <v>440</v>
      </c>
      <c r="I61" s="52">
        <v>220</v>
      </c>
      <c r="J61" s="18">
        <v>0</v>
      </c>
      <c r="K61" s="23" t="s">
        <v>123</v>
      </c>
    </row>
    <row r="62" spans="1:14" s="51" customFormat="1">
      <c r="A62" s="52" t="s">
        <v>191</v>
      </c>
      <c r="B62" s="52">
        <v>1620</v>
      </c>
      <c r="C62" s="52">
        <v>648</v>
      </c>
      <c r="D62" s="52">
        <v>324</v>
      </c>
      <c r="E62" s="52">
        <v>648</v>
      </c>
      <c r="F62" s="52">
        <v>324</v>
      </c>
      <c r="G62" s="52">
        <v>3240</v>
      </c>
      <c r="H62" s="52">
        <v>648</v>
      </c>
      <c r="I62" s="52">
        <v>324</v>
      </c>
      <c r="J62" s="18">
        <v>0</v>
      </c>
      <c r="K62" s="23" t="s">
        <v>124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legacyDrawing r:id="rId2"/>
  <controls>
    <control shapeId="5121" r:id="rId3" name="CommandButton1"/>
    <control shapeId="5122" r:id="rId4" name="CommandButton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AB60"/>
  <sheetViews>
    <sheetView topLeftCell="D13" workbookViewId="0">
      <selection activeCell="T36" sqref="T36"/>
    </sheetView>
  </sheetViews>
  <sheetFormatPr defaultRowHeight="13.5"/>
  <cols>
    <col min="1" max="1" width="13.125" customWidth="1"/>
    <col min="3" max="3" width="11.875" customWidth="1"/>
    <col min="10" max="10" width="9" customWidth="1"/>
    <col min="12" max="12" width="10.25" customWidth="1"/>
    <col min="13" max="13" width="10" customWidth="1"/>
    <col min="14" max="14" width="10.5" customWidth="1"/>
    <col min="15" max="15" width="9.625" customWidth="1"/>
    <col min="17" max="17" width="12" customWidth="1"/>
    <col min="18" max="18" width="12.125" customWidth="1"/>
  </cols>
  <sheetData>
    <row r="2" spans="1:28">
      <c r="A2" t="s">
        <v>133</v>
      </c>
      <c r="H2" t="s">
        <v>135</v>
      </c>
    </row>
    <row r="3" spans="1:28" ht="15" customHeight="1">
      <c r="B3" s="1" t="s">
        <v>1</v>
      </c>
      <c r="C3" s="1" t="s">
        <v>9</v>
      </c>
      <c r="D3" s="1" t="s">
        <v>11</v>
      </c>
      <c r="E3" s="1" t="s">
        <v>13</v>
      </c>
      <c r="F3" s="1" t="s">
        <v>15</v>
      </c>
      <c r="G3" s="1" t="s">
        <v>16</v>
      </c>
      <c r="I3" s="5" t="s">
        <v>128</v>
      </c>
      <c r="J3" s="6" t="s">
        <v>19</v>
      </c>
      <c r="K3" s="6" t="s">
        <v>20</v>
      </c>
      <c r="L3" s="6" t="s">
        <v>21</v>
      </c>
      <c r="M3" s="6" t="s">
        <v>22</v>
      </c>
      <c r="N3" s="6" t="s">
        <v>23</v>
      </c>
      <c r="O3" s="6" t="s">
        <v>24</v>
      </c>
      <c r="P3" s="6" t="s">
        <v>25</v>
      </c>
      <c r="Q3" s="6" t="s">
        <v>26</v>
      </c>
    </row>
    <row r="4" spans="1:28" ht="14.25">
      <c r="B4" s="1" t="s">
        <v>129</v>
      </c>
      <c r="C4" s="2">
        <v>10</v>
      </c>
      <c r="D4" s="2">
        <v>10</v>
      </c>
      <c r="E4" s="2">
        <v>10</v>
      </c>
      <c r="F4" s="2">
        <v>10</v>
      </c>
      <c r="G4" s="2">
        <v>40</v>
      </c>
      <c r="I4" t="s">
        <v>129</v>
      </c>
      <c r="J4">
        <v>50</v>
      </c>
      <c r="K4">
        <v>20</v>
      </c>
      <c r="L4">
        <v>10</v>
      </c>
      <c r="M4">
        <v>20</v>
      </c>
      <c r="N4">
        <v>10</v>
      </c>
      <c r="O4">
        <v>100</v>
      </c>
      <c r="P4">
        <v>20</v>
      </c>
      <c r="Q4" s="56">
        <v>10</v>
      </c>
    </row>
    <row r="5" spans="1:28" ht="14.25">
      <c r="B5" s="1" t="s">
        <v>3</v>
      </c>
      <c r="C5" s="2">
        <v>10</v>
      </c>
      <c r="D5" s="2">
        <v>10</v>
      </c>
      <c r="E5" s="2">
        <v>10</v>
      </c>
      <c r="F5" s="2">
        <v>10</v>
      </c>
      <c r="G5" s="2">
        <v>40</v>
      </c>
      <c r="I5" s="6" t="s">
        <v>130</v>
      </c>
      <c r="J5">
        <f>50*1.5</f>
        <v>75</v>
      </c>
      <c r="K5">
        <f>20*1.25</f>
        <v>25</v>
      </c>
      <c r="L5">
        <f>10*1.5</f>
        <v>15</v>
      </c>
      <c r="M5">
        <f>20*0.5</f>
        <v>10</v>
      </c>
      <c r="N5">
        <f>10*0.5</f>
        <v>5</v>
      </c>
      <c r="O5">
        <v>100</v>
      </c>
      <c r="P5">
        <v>20</v>
      </c>
      <c r="Q5" s="56">
        <v>10</v>
      </c>
    </row>
    <row r="6" spans="1:28" ht="14.25">
      <c r="B6" s="1" t="s">
        <v>5</v>
      </c>
      <c r="C6" s="2">
        <v>10</v>
      </c>
      <c r="D6" s="2">
        <v>10</v>
      </c>
      <c r="E6" s="2">
        <v>10</v>
      </c>
      <c r="F6" s="2">
        <v>10</v>
      </c>
      <c r="G6" s="2">
        <v>40</v>
      </c>
      <c r="I6" t="s">
        <v>131</v>
      </c>
      <c r="J6">
        <v>50</v>
      </c>
      <c r="K6">
        <f>20*1.5</f>
        <v>30</v>
      </c>
      <c r="L6">
        <v>10</v>
      </c>
      <c r="M6">
        <f>20*0.5</f>
        <v>10</v>
      </c>
      <c r="N6">
        <f>10*0.75</f>
        <v>7.5</v>
      </c>
      <c r="O6">
        <v>125</v>
      </c>
      <c r="P6">
        <v>50</v>
      </c>
      <c r="Q6" s="56">
        <v>12.5</v>
      </c>
    </row>
    <row r="7" spans="1:28" ht="14.25">
      <c r="B7" s="1" t="s">
        <v>7</v>
      </c>
      <c r="C7" s="2">
        <v>10</v>
      </c>
      <c r="D7" s="2">
        <v>10</v>
      </c>
      <c r="E7" s="2">
        <v>10</v>
      </c>
      <c r="F7" s="2">
        <v>10</v>
      </c>
      <c r="G7" s="2">
        <v>40</v>
      </c>
      <c r="I7" t="s">
        <v>132</v>
      </c>
      <c r="J7">
        <f>50*0.75</f>
        <v>37.5</v>
      </c>
      <c r="K7">
        <f>20*0.5</f>
        <v>10</v>
      </c>
      <c r="L7">
        <f>10*0.5</f>
        <v>5</v>
      </c>
      <c r="M7">
        <f>20*1.5</f>
        <v>30</v>
      </c>
      <c r="N7">
        <f>10*1.25</f>
        <v>12.5</v>
      </c>
      <c r="O7">
        <v>100</v>
      </c>
      <c r="P7">
        <v>20</v>
      </c>
      <c r="Q7" s="56">
        <v>10</v>
      </c>
      <c r="T7" s="5"/>
      <c r="U7" s="6"/>
      <c r="V7" s="6"/>
      <c r="W7" s="6"/>
      <c r="X7" s="6"/>
      <c r="Y7" s="6"/>
      <c r="Z7" s="6"/>
      <c r="AA7" s="6"/>
      <c r="AB7" s="6"/>
    </row>
    <row r="9" spans="1:28">
      <c r="A9" t="s">
        <v>134</v>
      </c>
      <c r="B9" s="1"/>
      <c r="H9" t="s">
        <v>136</v>
      </c>
      <c r="T9" s="6"/>
      <c r="U9" s="6"/>
    </row>
    <row r="10" spans="1:28">
      <c r="B10" s="3" t="s">
        <v>0</v>
      </c>
      <c r="C10" s="3" t="s">
        <v>8</v>
      </c>
      <c r="D10" s="3" t="s">
        <v>10</v>
      </c>
      <c r="E10" s="3" t="s">
        <v>12</v>
      </c>
      <c r="F10" s="3" t="s">
        <v>14</v>
      </c>
      <c r="G10" s="3" t="s">
        <v>17</v>
      </c>
      <c r="I10" s="5" t="s">
        <v>128</v>
      </c>
      <c r="J10" s="6" t="s">
        <v>19</v>
      </c>
      <c r="K10" s="6" t="s">
        <v>20</v>
      </c>
      <c r="L10" s="6" t="s">
        <v>21</v>
      </c>
      <c r="M10" s="6" t="s">
        <v>22</v>
      </c>
      <c r="N10" s="6" t="s">
        <v>23</v>
      </c>
      <c r="O10" s="6" t="s">
        <v>24</v>
      </c>
      <c r="P10" s="6" t="s">
        <v>25</v>
      </c>
      <c r="Q10" s="6" t="s">
        <v>26</v>
      </c>
    </row>
    <row r="11" spans="1:28">
      <c r="B11" t="s">
        <v>129</v>
      </c>
      <c r="C11">
        <v>2</v>
      </c>
      <c r="D11">
        <v>2</v>
      </c>
      <c r="E11">
        <v>2</v>
      </c>
      <c r="F11">
        <v>2</v>
      </c>
      <c r="G11">
        <v>8</v>
      </c>
      <c r="I11" t="s">
        <v>129</v>
      </c>
      <c r="J11">
        <f>C11*C40</f>
        <v>10</v>
      </c>
      <c r="K11">
        <f>D11*D41</f>
        <v>4</v>
      </c>
      <c r="L11">
        <f>D11*E41</f>
        <v>2</v>
      </c>
      <c r="M11">
        <f>F11*F43</f>
        <v>4</v>
      </c>
      <c r="N11">
        <f>F11*G43</f>
        <v>2</v>
      </c>
      <c r="O11">
        <f>E11*H42</f>
        <v>20</v>
      </c>
      <c r="P11">
        <f>E11*I42</f>
        <v>4</v>
      </c>
      <c r="Q11">
        <f>E11*J42</f>
        <v>0</v>
      </c>
      <c r="U11" s="6"/>
    </row>
    <row r="12" spans="1:28" ht="14.25">
      <c r="B12" s="3" t="s">
        <v>2</v>
      </c>
      <c r="C12" s="4">
        <v>3</v>
      </c>
      <c r="D12" s="4">
        <v>3</v>
      </c>
      <c r="E12" s="4">
        <v>1</v>
      </c>
      <c r="F12" s="4">
        <v>1</v>
      </c>
      <c r="G12">
        <v>8</v>
      </c>
      <c r="I12" s="6" t="s">
        <v>130</v>
      </c>
      <c r="J12">
        <f>C12*C20</f>
        <v>22.5</v>
      </c>
      <c r="K12">
        <f>D12*D21</f>
        <v>6</v>
      </c>
      <c r="L12">
        <f>D12*E21</f>
        <v>4.5</v>
      </c>
      <c r="M12">
        <f>F12*F23</f>
        <v>0.5</v>
      </c>
      <c r="N12">
        <f>F12*G23</f>
        <v>0.5</v>
      </c>
      <c r="O12">
        <f>E12*H22</f>
        <v>10</v>
      </c>
      <c r="P12">
        <f>E12*I22</f>
        <v>2</v>
      </c>
      <c r="Q12">
        <f>E12*J22</f>
        <v>1</v>
      </c>
    </row>
    <row r="13" spans="1:28" ht="14.25">
      <c r="B13" s="3" t="s">
        <v>4</v>
      </c>
      <c r="C13" s="4">
        <v>2</v>
      </c>
      <c r="D13" s="4">
        <v>3</v>
      </c>
      <c r="E13" s="4">
        <v>2</v>
      </c>
      <c r="F13" s="4">
        <v>1</v>
      </c>
      <c r="G13">
        <v>8</v>
      </c>
      <c r="I13" t="s">
        <v>131</v>
      </c>
      <c r="J13">
        <f>C13*C27</f>
        <v>10</v>
      </c>
      <c r="K13">
        <f>D13*D28</f>
        <v>9</v>
      </c>
      <c r="L13">
        <f>D13*E28</f>
        <v>3</v>
      </c>
      <c r="M13">
        <f>F30*F13</f>
        <v>1</v>
      </c>
      <c r="N13">
        <f>F13*G30</f>
        <v>0.75</v>
      </c>
      <c r="O13">
        <f>E13*H28</f>
        <v>25</v>
      </c>
      <c r="P13">
        <f>E13*I28</f>
        <v>10</v>
      </c>
      <c r="Q13">
        <f>E13*J28</f>
        <v>2.5</v>
      </c>
    </row>
    <row r="14" spans="1:28" ht="14.25">
      <c r="B14" s="3" t="s">
        <v>6</v>
      </c>
      <c r="C14" s="4">
        <v>2</v>
      </c>
      <c r="D14" s="4">
        <v>1</v>
      </c>
      <c r="E14" s="4">
        <v>2</v>
      </c>
      <c r="F14" s="4">
        <v>3</v>
      </c>
      <c r="G14">
        <v>8</v>
      </c>
      <c r="I14" t="s">
        <v>132</v>
      </c>
      <c r="J14">
        <f>C14*C34</f>
        <v>7.5</v>
      </c>
      <c r="K14">
        <f>D35*D14</f>
        <v>1</v>
      </c>
      <c r="L14">
        <f>D14*E35</f>
        <v>0.5</v>
      </c>
      <c r="M14">
        <f>F14*F37</f>
        <v>9</v>
      </c>
      <c r="N14">
        <f>F14*G37</f>
        <v>3.75</v>
      </c>
      <c r="O14">
        <f>E14*H36</f>
        <v>20</v>
      </c>
      <c r="P14">
        <f>E13*I36</f>
        <v>4</v>
      </c>
      <c r="Q14">
        <f>E14*J36</f>
        <v>2</v>
      </c>
    </row>
    <row r="17" spans="1:26" ht="13.5" customHeight="1">
      <c r="B17" s="3" t="s">
        <v>67</v>
      </c>
    </row>
    <row r="18" spans="1:26">
      <c r="A18" t="s">
        <v>27</v>
      </c>
      <c r="B18" s="3" t="s">
        <v>68</v>
      </c>
    </row>
    <row r="19" spans="1:26">
      <c r="A19" s="64" t="s">
        <v>3</v>
      </c>
      <c r="B19" s="5" t="s">
        <v>18</v>
      </c>
      <c r="C19" s="6" t="s">
        <v>19</v>
      </c>
      <c r="D19" s="6" t="s">
        <v>20</v>
      </c>
      <c r="E19" s="6" t="s">
        <v>21</v>
      </c>
      <c r="F19" s="6" t="s">
        <v>22</v>
      </c>
      <c r="G19" s="6" t="s">
        <v>23</v>
      </c>
      <c r="H19" s="6" t="s">
        <v>24</v>
      </c>
      <c r="I19" s="6" t="s">
        <v>25</v>
      </c>
      <c r="J19" s="6" t="s">
        <v>26</v>
      </c>
    </row>
    <row r="20" spans="1:26" ht="14.25">
      <c r="A20" s="64"/>
      <c r="B20" s="6" t="s">
        <v>8</v>
      </c>
      <c r="C20" s="7">
        <v>7.5</v>
      </c>
      <c r="D20" s="7"/>
      <c r="E20" s="7"/>
      <c r="F20" s="7"/>
      <c r="G20" s="7"/>
      <c r="H20" s="7"/>
      <c r="I20" s="7"/>
      <c r="J20" s="7"/>
      <c r="L20" t="s">
        <v>29</v>
      </c>
      <c r="R20" t="s">
        <v>116</v>
      </c>
      <c r="W20" t="s">
        <v>117</v>
      </c>
    </row>
    <row r="21" spans="1:26" ht="14.25">
      <c r="A21" s="64"/>
      <c r="B21" s="6" t="s">
        <v>10</v>
      </c>
      <c r="C21" s="7"/>
      <c r="D21" s="7">
        <v>2</v>
      </c>
      <c r="E21" s="7">
        <v>1.5</v>
      </c>
      <c r="F21" s="7"/>
      <c r="G21" s="7"/>
      <c r="H21" s="7"/>
      <c r="I21" s="7"/>
      <c r="J21" s="7"/>
    </row>
    <row r="22" spans="1:26" ht="14.25">
      <c r="A22" s="64"/>
      <c r="B22" s="6" t="s">
        <v>12</v>
      </c>
      <c r="C22" s="7"/>
      <c r="D22" s="7"/>
      <c r="E22" s="7"/>
      <c r="F22" s="7"/>
      <c r="G22" s="7"/>
      <c r="H22" s="7">
        <v>10</v>
      </c>
      <c r="I22" s="7">
        <v>2</v>
      </c>
      <c r="J22" s="7">
        <v>1</v>
      </c>
      <c r="M22" s="8" t="s">
        <v>1</v>
      </c>
      <c r="N22" s="8" t="s">
        <v>3</v>
      </c>
      <c r="O22" s="8" t="s">
        <v>5</v>
      </c>
      <c r="P22" s="8" t="s">
        <v>7</v>
      </c>
      <c r="R22" s="8" t="s">
        <v>1</v>
      </c>
      <c r="S22" s="8" t="s">
        <v>3</v>
      </c>
      <c r="T22" s="8" t="s">
        <v>5</v>
      </c>
      <c r="U22" s="8" t="s">
        <v>7</v>
      </c>
      <c r="W22" s="8" t="s">
        <v>30</v>
      </c>
      <c r="X22" s="8" t="str">
        <f>战斗界面!B20</f>
        <v>无</v>
      </c>
      <c r="Y22" s="8" t="str">
        <f>战斗界面!D20</f>
        <v>无</v>
      </c>
      <c r="Z22" s="8" t="str">
        <f>战斗界面!F20</f>
        <v>无</v>
      </c>
    </row>
    <row r="23" spans="1:26" ht="14.25">
      <c r="A23" s="64"/>
      <c r="B23" s="6" t="s">
        <v>14</v>
      </c>
      <c r="C23" s="7"/>
      <c r="D23" s="7"/>
      <c r="E23" s="7"/>
      <c r="F23" s="7">
        <v>0.5</v>
      </c>
      <c r="G23" s="7">
        <v>0.5</v>
      </c>
      <c r="H23" s="7"/>
      <c r="I23" s="7"/>
      <c r="J23" s="7"/>
      <c r="M23" s="8" t="s">
        <v>28</v>
      </c>
      <c r="N23" s="8">
        <f>战斗界面!D7</f>
        <v>10</v>
      </c>
      <c r="O23" s="8">
        <f>N23</f>
        <v>10</v>
      </c>
      <c r="P23" s="8">
        <f>N23</f>
        <v>10</v>
      </c>
      <c r="R23" s="8" t="s">
        <v>28</v>
      </c>
      <c r="S23" s="8">
        <f>N23</f>
        <v>10</v>
      </c>
      <c r="T23" s="8">
        <f>S23</f>
        <v>10</v>
      </c>
      <c r="U23" s="8">
        <f>S23</f>
        <v>10</v>
      </c>
      <c r="W23" s="8" t="s">
        <v>28</v>
      </c>
      <c r="X23" s="8">
        <f>VLOOKUP(X22,装备生成表!A1:O33,3,FALSE)</f>
        <v>0</v>
      </c>
      <c r="Y23" s="8">
        <f>VLOOKUP(Y22,装备生成表!A1:O33,3,FALSE)</f>
        <v>0</v>
      </c>
      <c r="Z23" s="8">
        <f>VLOOKUP(Z22,装备生成表!A1:O33,3,FALSE)</f>
        <v>0</v>
      </c>
    </row>
    <row r="24" spans="1:26">
      <c r="M24" s="8" t="s">
        <v>31</v>
      </c>
      <c r="N24" s="8">
        <f>C5+C12*N23</f>
        <v>40</v>
      </c>
      <c r="O24" s="8">
        <f>C6+C13*O23</f>
        <v>30</v>
      </c>
      <c r="P24" s="8">
        <f>C7+C14*P23</f>
        <v>30</v>
      </c>
      <c r="R24" s="8" t="s">
        <v>9</v>
      </c>
      <c r="S24" s="8">
        <f>N24+X24+Y24+Z24</f>
        <v>40</v>
      </c>
      <c r="T24" s="8">
        <f>O24+X24+Y24+Z24</f>
        <v>30</v>
      </c>
      <c r="U24" s="8">
        <f>P24+X24+Y24+Z24</f>
        <v>30</v>
      </c>
      <c r="W24" s="8" t="s">
        <v>9</v>
      </c>
      <c r="X24" s="8">
        <f>VLOOKUP(X22,装备生成表!A1:O33,4,FALSE)</f>
        <v>0</v>
      </c>
      <c r="Y24" s="8">
        <f>VLOOKUP(Y22,装备生成表!A1:O33,4,FALSE)</f>
        <v>0</v>
      </c>
      <c r="Z24" s="8">
        <f>VLOOKUP(Z22,装备生成表!A1:O33,4,FALSE)</f>
        <v>0</v>
      </c>
    </row>
    <row r="25" spans="1:26">
      <c r="B25" s="6" t="s">
        <v>69</v>
      </c>
      <c r="M25" s="8" t="s">
        <v>32</v>
      </c>
      <c r="N25" s="8">
        <f>D5+D12*N23</f>
        <v>40</v>
      </c>
      <c r="O25" s="8">
        <f>D6+D13*O23</f>
        <v>40</v>
      </c>
      <c r="P25" s="8">
        <f>D7+D14*P23</f>
        <v>20</v>
      </c>
      <c r="R25" s="8" t="s">
        <v>11</v>
      </c>
      <c r="S25" s="8">
        <f>N25+X25+Y25+Z25</f>
        <v>40</v>
      </c>
      <c r="T25" s="8">
        <f>O25+X25+Y25+Z25</f>
        <v>40</v>
      </c>
      <c r="U25" s="8">
        <f>P25+X25+Y25+Z25</f>
        <v>20</v>
      </c>
      <c r="W25" s="8" t="s">
        <v>11</v>
      </c>
      <c r="X25" s="8">
        <f>VLOOKUP(X22,装备生成表!A1:O33,5,FALSE)</f>
        <v>0</v>
      </c>
      <c r="Y25" s="8">
        <f>VLOOKUP(Y22,装备生成表!A1:O33,5,FALSE)</f>
        <v>0</v>
      </c>
      <c r="Z25" s="8">
        <f>VLOOKUP(Z22,装备生成表!A1:O33,5,FALSE)</f>
        <v>0</v>
      </c>
    </row>
    <row r="26" spans="1:26">
      <c r="A26" s="64" t="s">
        <v>5</v>
      </c>
      <c r="B26" s="5" t="s">
        <v>18</v>
      </c>
      <c r="C26" s="6" t="s">
        <v>19</v>
      </c>
      <c r="D26" s="6" t="s">
        <v>20</v>
      </c>
      <c r="E26" s="6" t="s">
        <v>21</v>
      </c>
      <c r="F26" s="6" t="s">
        <v>22</v>
      </c>
      <c r="G26" s="6" t="s">
        <v>23</v>
      </c>
      <c r="H26" s="6" t="s">
        <v>24</v>
      </c>
      <c r="I26" s="6" t="s">
        <v>25</v>
      </c>
      <c r="J26" s="6" t="s">
        <v>26</v>
      </c>
      <c r="M26" s="8" t="s">
        <v>33</v>
      </c>
      <c r="N26" s="8">
        <f>E5+E12*N23</f>
        <v>20</v>
      </c>
      <c r="O26" s="8">
        <f>E6+E13*O23</f>
        <v>30</v>
      </c>
      <c r="P26" s="8">
        <f>E7+E14*P23</f>
        <v>30</v>
      </c>
      <c r="R26" s="8" t="s">
        <v>13</v>
      </c>
      <c r="S26" s="8">
        <f>N26+X26+Y26+Z26</f>
        <v>20</v>
      </c>
      <c r="T26" s="8">
        <f>O26+X26+Y26+Z26</f>
        <v>30</v>
      </c>
      <c r="U26" s="8">
        <f>P26+X26+Y26+Z26</f>
        <v>30</v>
      </c>
      <c r="W26" s="8" t="s">
        <v>13</v>
      </c>
      <c r="X26" s="8">
        <f>VLOOKUP(X22,装备生成表!A1:O33,6,FALSE)</f>
        <v>0</v>
      </c>
      <c r="Y26" s="8">
        <f>VLOOKUP(Y22,装备生成表!A1:O33,6,FALSE)</f>
        <v>0</v>
      </c>
      <c r="Z26" s="8">
        <f>VLOOKUP(Z22,装备生成表!A1:O33,6,FALSE)</f>
        <v>0</v>
      </c>
    </row>
    <row r="27" spans="1:26" ht="14.25">
      <c r="A27" s="64"/>
      <c r="B27" s="6" t="s">
        <v>8</v>
      </c>
      <c r="C27" s="7">
        <v>5</v>
      </c>
      <c r="D27" s="7"/>
      <c r="E27" s="7"/>
      <c r="F27" s="7"/>
      <c r="G27" s="7"/>
      <c r="H27" s="7"/>
      <c r="I27" s="7"/>
      <c r="J27" s="7"/>
      <c r="M27" s="8" t="s">
        <v>34</v>
      </c>
      <c r="N27" s="8">
        <f>F5+F12*N23</f>
        <v>20</v>
      </c>
      <c r="O27" s="8">
        <f>F6+F13*O23</f>
        <v>20</v>
      </c>
      <c r="P27" s="8">
        <f>F7+F14*P23</f>
        <v>40</v>
      </c>
      <c r="R27" s="8" t="s">
        <v>15</v>
      </c>
      <c r="S27" s="8">
        <f>N27+X27+Y27+Z27</f>
        <v>20</v>
      </c>
      <c r="T27" s="8">
        <f>O27+X27+Y27+Z27</f>
        <v>20</v>
      </c>
      <c r="U27" s="8">
        <f>P27+X27+Y27+Z27</f>
        <v>40</v>
      </c>
      <c r="W27" s="8" t="s">
        <v>15</v>
      </c>
      <c r="X27" s="8">
        <f>VLOOKUP(X22,装备生成表!A1:O33,7,FALSE)</f>
        <v>0</v>
      </c>
      <c r="Y27" s="8">
        <f>VLOOKUP(Y22,装备生成表!A1:O33,7,FALSE)</f>
        <v>0</v>
      </c>
      <c r="Z27" s="8">
        <f>VLOOKUP(Z22,装备生成表!A1:O33,7,FALSE)</f>
        <v>0</v>
      </c>
    </row>
    <row r="28" spans="1:26" ht="14.25">
      <c r="A28" s="64"/>
      <c r="B28" s="6" t="s">
        <v>10</v>
      </c>
      <c r="C28" s="7"/>
      <c r="D28" s="7">
        <v>3</v>
      </c>
      <c r="E28" s="7">
        <v>1</v>
      </c>
      <c r="F28" s="7"/>
      <c r="G28" s="7"/>
      <c r="H28" s="7">
        <v>12.5</v>
      </c>
      <c r="I28" s="7">
        <v>5</v>
      </c>
      <c r="J28" s="7">
        <v>1.25</v>
      </c>
      <c r="M28" s="9" t="s">
        <v>19</v>
      </c>
      <c r="N28" s="8">
        <f>INT(N24*C20)</f>
        <v>300</v>
      </c>
      <c r="O28" s="8">
        <f>O24*C27</f>
        <v>150</v>
      </c>
      <c r="P28" s="8">
        <f>P24*C34</f>
        <v>112.5</v>
      </c>
      <c r="R28" s="9" t="s">
        <v>19</v>
      </c>
      <c r="S28" s="8">
        <f>S24*C20+X28+Y28+Z28</f>
        <v>300</v>
      </c>
      <c r="T28" s="8">
        <f>T24*C27+X28+Y28+Z28</f>
        <v>150</v>
      </c>
      <c r="U28" s="8">
        <f>U24*C34+X28+Y28+Z28</f>
        <v>112.5</v>
      </c>
      <c r="W28" s="9" t="s">
        <v>19</v>
      </c>
      <c r="X28" s="8">
        <f>VLOOKUP(X22,装备生成表!A1:O33,8,FALSE)</f>
        <v>0</v>
      </c>
      <c r="Y28" s="8">
        <f>VLOOKUP(Y22,装备生成表!A1:O33,8,FALSE)</f>
        <v>0</v>
      </c>
      <c r="Z28" s="8">
        <f>VLOOKUP(Z22,装备生成表!A1:O33,8,FALSE)</f>
        <v>0</v>
      </c>
    </row>
    <row r="29" spans="1:26" ht="14.25">
      <c r="A29" s="64"/>
      <c r="B29" s="6" t="s">
        <v>12</v>
      </c>
      <c r="C29" s="7"/>
      <c r="D29" s="7"/>
      <c r="E29" s="7"/>
      <c r="F29" s="7"/>
      <c r="G29" s="7"/>
      <c r="H29" s="7"/>
      <c r="I29" s="7"/>
      <c r="J29" s="7"/>
      <c r="M29" s="9" t="s">
        <v>20</v>
      </c>
      <c r="N29" s="8">
        <f>N25*D21+N26*D22</f>
        <v>80</v>
      </c>
      <c r="O29" s="8">
        <f>O25*D28+O26*D29</f>
        <v>120</v>
      </c>
      <c r="P29" s="8">
        <f>P25*D35+P26*D36</f>
        <v>20</v>
      </c>
      <c r="R29" s="9" t="s">
        <v>20</v>
      </c>
      <c r="S29" s="8">
        <f>S25*D21+S26*D22+X29+Y29+Z29</f>
        <v>80</v>
      </c>
      <c r="T29" s="8">
        <f>T25*D28+T26*D29+X29+Y29+Z29</f>
        <v>120</v>
      </c>
      <c r="U29" s="8">
        <f>U25*D35+U26*D36+X29+Y29+Z29</f>
        <v>20</v>
      </c>
      <c r="W29" s="9" t="s">
        <v>20</v>
      </c>
      <c r="X29" s="8">
        <f>VLOOKUP(X22,装备生成表!A1:O33,9,FALSE)</f>
        <v>0</v>
      </c>
      <c r="Y29" s="8">
        <f>VLOOKUP(Y22,装备生成表!A1:O33,9,FALSE)</f>
        <v>0</v>
      </c>
      <c r="Z29" s="8">
        <f>VLOOKUP(Z22,装备生成表!A1:O33,9,FALSE)</f>
        <v>0</v>
      </c>
    </row>
    <row r="30" spans="1:26" ht="14.25">
      <c r="A30" s="64"/>
      <c r="B30" s="6" t="s">
        <v>14</v>
      </c>
      <c r="C30" s="7"/>
      <c r="D30" s="7"/>
      <c r="E30" s="7"/>
      <c r="F30" s="7">
        <v>1</v>
      </c>
      <c r="G30" s="7">
        <v>0.75</v>
      </c>
      <c r="H30" s="7"/>
      <c r="I30" s="7"/>
      <c r="J30" s="7"/>
      <c r="M30" s="9" t="s">
        <v>21</v>
      </c>
      <c r="N30" s="8">
        <f>INT(N24*E20+N25*E21)</f>
        <v>60</v>
      </c>
      <c r="O30" s="8">
        <f>O24*E27+O25*E28</f>
        <v>40</v>
      </c>
      <c r="P30" s="8">
        <f>INT(P24*E34+P25*E35)</f>
        <v>10</v>
      </c>
      <c r="R30" s="9" t="s">
        <v>21</v>
      </c>
      <c r="S30" s="8">
        <f>S24*E20+S25*E21+X30+Y30+Z30</f>
        <v>60</v>
      </c>
      <c r="T30" s="8">
        <f>T24*E27+T25*E28+X30+Y30+Z30</f>
        <v>40</v>
      </c>
      <c r="U30" s="8">
        <f>U24*E34+U25*E35+X30+Y30+Z30</f>
        <v>10</v>
      </c>
      <c r="W30" s="9" t="s">
        <v>21</v>
      </c>
      <c r="X30" s="8">
        <f>VLOOKUP(X22,装备生成表!A1:O33,10,FALSE)</f>
        <v>0</v>
      </c>
      <c r="Y30" s="8">
        <f>VLOOKUP(Y22,装备生成表!A1:O33,10,FALSE)</f>
        <v>0</v>
      </c>
      <c r="Z30" s="8">
        <f>VLOOKUP(Z22,装备生成表!A1:O33,10,FALSE)</f>
        <v>0</v>
      </c>
    </row>
    <row r="31" spans="1:26">
      <c r="M31" s="9" t="s">
        <v>22</v>
      </c>
      <c r="N31" s="8">
        <f>INT(N27*F23)</f>
        <v>10</v>
      </c>
      <c r="O31" s="8">
        <f>O27*F30</f>
        <v>20</v>
      </c>
      <c r="P31" s="8">
        <f>P27*F37</f>
        <v>120</v>
      </c>
      <c r="R31" s="9" t="s">
        <v>22</v>
      </c>
      <c r="S31" s="8">
        <f>S27*F23+X31+Y31+Z31</f>
        <v>10</v>
      </c>
      <c r="T31" s="8">
        <f>T27*F30+X31+Y31+Z31</f>
        <v>20</v>
      </c>
      <c r="U31" s="8">
        <f>U27*F37+X31+Y31+Z31</f>
        <v>120</v>
      </c>
      <c r="W31" s="9" t="s">
        <v>22</v>
      </c>
      <c r="X31" s="8">
        <f>VLOOKUP(X22,装备生成表!A1:O33,11,FALSE)</f>
        <v>0</v>
      </c>
      <c r="Y31" s="8">
        <f>VLOOKUP(Y22,装备生成表!A1:O33,11,FALSE)</f>
        <v>0</v>
      </c>
      <c r="Z31" s="8">
        <f>VLOOKUP(Z22,装备生成表!A1:O33,11,FALSE)</f>
        <v>0</v>
      </c>
    </row>
    <row r="32" spans="1:26">
      <c r="B32" s="6" t="s">
        <v>70</v>
      </c>
      <c r="M32" s="9" t="s">
        <v>23</v>
      </c>
      <c r="N32" s="8">
        <f>INT(N24*G20+N27*G23)</f>
        <v>10</v>
      </c>
      <c r="O32" s="8">
        <f>INT(O24*G27+O27*G30)</f>
        <v>15</v>
      </c>
      <c r="P32" s="8">
        <f>INT(P24*G34+P27*G37)</f>
        <v>50</v>
      </c>
      <c r="R32" s="9" t="s">
        <v>23</v>
      </c>
      <c r="S32" s="8">
        <f>S24*G20+S27*G23+X32+Y32+Z32</f>
        <v>10</v>
      </c>
      <c r="T32" s="8">
        <f>T24*G27+T27*G30+X32+Y32+Z32</f>
        <v>15</v>
      </c>
      <c r="U32" s="8">
        <f>U24*G34+U27*G37+X32+Y32+Z32</f>
        <v>50</v>
      </c>
      <c r="W32" s="9" t="s">
        <v>23</v>
      </c>
      <c r="X32" s="8">
        <f>VLOOKUP(X22,装备生成表!A1:O33,12,FALSE)</f>
        <v>0</v>
      </c>
      <c r="Y32" s="8">
        <f>VLOOKUP(Y22,装备生成表!A1:O33,12,FALSE)</f>
        <v>0</v>
      </c>
      <c r="Z32" s="8">
        <f>VLOOKUP(Z22,装备生成表!A1:O33,12,FALSE)</f>
        <v>0</v>
      </c>
    </row>
    <row r="33" spans="1:26">
      <c r="A33" s="64" t="s">
        <v>7</v>
      </c>
      <c r="B33" s="5" t="s">
        <v>18</v>
      </c>
      <c r="C33" s="6" t="s">
        <v>19</v>
      </c>
      <c r="D33" s="6" t="s">
        <v>20</v>
      </c>
      <c r="E33" s="6" t="s">
        <v>21</v>
      </c>
      <c r="F33" s="6" t="s">
        <v>22</v>
      </c>
      <c r="G33" s="6" t="s">
        <v>23</v>
      </c>
      <c r="H33" s="6" t="s">
        <v>24</v>
      </c>
      <c r="I33" s="6" t="s">
        <v>25</v>
      </c>
      <c r="J33" s="6" t="s">
        <v>26</v>
      </c>
      <c r="M33" s="9" t="s">
        <v>24</v>
      </c>
      <c r="N33" s="8">
        <f>N26*H22</f>
        <v>200</v>
      </c>
      <c r="O33" s="8">
        <f>O26*H28</f>
        <v>375</v>
      </c>
      <c r="P33" s="8">
        <f>P26*H36</f>
        <v>300</v>
      </c>
      <c r="R33" s="9" t="s">
        <v>24</v>
      </c>
      <c r="S33" s="8">
        <f>S26*H22+X33+Y33+Z33</f>
        <v>200</v>
      </c>
      <c r="T33" s="8">
        <f>T26*H28+X33+Y33+Z33</f>
        <v>375</v>
      </c>
      <c r="U33" s="8">
        <f>U26*H36+X33+Y33+Z33</f>
        <v>300</v>
      </c>
      <c r="W33" s="9" t="s">
        <v>24</v>
      </c>
      <c r="X33" s="8">
        <f>VLOOKUP(X22,装备生成表!A1:O33,13,FALSE)</f>
        <v>0</v>
      </c>
      <c r="Y33" s="8">
        <f>VLOOKUP(Y22,装备生成表!A1:O33,13,FALSE)</f>
        <v>0</v>
      </c>
      <c r="Z33" s="8">
        <f>VLOOKUP(Z22,装备生成表!A1:O33,13,FALSE)</f>
        <v>0</v>
      </c>
    </row>
    <row r="34" spans="1:26" ht="14.25">
      <c r="A34" s="64"/>
      <c r="B34" s="6" t="s">
        <v>8</v>
      </c>
      <c r="C34" s="7">
        <v>3.75</v>
      </c>
      <c r="D34" s="7"/>
      <c r="E34" s="7"/>
      <c r="F34" s="7"/>
      <c r="G34" s="7"/>
      <c r="H34" s="7"/>
      <c r="I34" s="7"/>
      <c r="J34" s="7"/>
      <c r="M34" s="9" t="s">
        <v>25</v>
      </c>
      <c r="N34" s="8">
        <f>N26*I22</f>
        <v>40</v>
      </c>
      <c r="O34" s="8">
        <f>O26*I28</f>
        <v>150</v>
      </c>
      <c r="P34" s="8">
        <f>P26*I36</f>
        <v>60</v>
      </c>
      <c r="R34" s="9" t="s">
        <v>25</v>
      </c>
      <c r="S34" s="8">
        <f>S26*I22+X34+Y34+Z34</f>
        <v>40</v>
      </c>
      <c r="T34" s="8">
        <f>T26*I28+X34+Y34+Z34</f>
        <v>150</v>
      </c>
      <c r="U34" s="8">
        <f>U26*I36+X34+Y34+Z34</f>
        <v>60</v>
      </c>
      <c r="W34" s="9" t="s">
        <v>25</v>
      </c>
      <c r="X34" s="8">
        <f>VLOOKUP(X22,装备生成表!A1:O33,14,FALSE)</f>
        <v>0</v>
      </c>
      <c r="Y34" s="8">
        <f>VLOOKUP(Y22,装备生成表!A1:O33,14,FALSE)</f>
        <v>0</v>
      </c>
      <c r="Z34" s="8">
        <f>VLOOKUP(Z22,装备生成表!A1:O33,14,FALSE)</f>
        <v>0</v>
      </c>
    </row>
    <row r="35" spans="1:26" ht="14.25">
      <c r="A35" s="64"/>
      <c r="B35" s="6" t="s">
        <v>10</v>
      </c>
      <c r="C35" s="7"/>
      <c r="D35" s="7">
        <v>1</v>
      </c>
      <c r="E35" s="7">
        <v>0.5</v>
      </c>
      <c r="F35" s="7"/>
      <c r="G35" s="7"/>
      <c r="H35" s="7"/>
      <c r="I35" s="7"/>
      <c r="J35" s="7"/>
      <c r="M35" s="9" t="s">
        <v>26</v>
      </c>
      <c r="N35" s="8">
        <f>N26*J22</f>
        <v>20</v>
      </c>
      <c r="O35" s="8">
        <f>O26*J28</f>
        <v>37.5</v>
      </c>
      <c r="P35" s="8">
        <f>P26*J36</f>
        <v>30</v>
      </c>
      <c r="R35" s="9" t="s">
        <v>26</v>
      </c>
      <c r="S35" s="8">
        <f>S26*J22+X35+Y35+Z35</f>
        <v>20</v>
      </c>
      <c r="T35" s="8">
        <f>T26*J28+X35+Y35+Z35</f>
        <v>37.5</v>
      </c>
      <c r="U35" s="8">
        <f>U26*J36+X35+Y35+Z35</f>
        <v>30</v>
      </c>
      <c r="W35" s="9" t="s">
        <v>26</v>
      </c>
      <c r="X35" s="8">
        <f>VLOOKUP(X22,装备生成表!A1:O33,15,FALSE)</f>
        <v>0</v>
      </c>
      <c r="Y35" s="8">
        <f>VLOOKUP(Y22,装备生成表!A1:O33,15,FALSE)</f>
        <v>0</v>
      </c>
      <c r="Z35" s="8">
        <f>VLOOKUP(Z22,装备生成表!A1:O33,15,FALSE)</f>
        <v>0</v>
      </c>
    </row>
    <row r="36" spans="1:26" ht="14.25">
      <c r="A36" s="64"/>
      <c r="B36" s="6" t="s">
        <v>12</v>
      </c>
      <c r="C36" s="7"/>
      <c r="D36" s="7"/>
      <c r="E36" s="7"/>
      <c r="F36" s="7"/>
      <c r="G36" s="7"/>
      <c r="H36" s="7">
        <v>10</v>
      </c>
      <c r="I36" s="7">
        <v>2</v>
      </c>
      <c r="J36" s="7">
        <v>1</v>
      </c>
      <c r="M36" s="9"/>
      <c r="N36" s="8"/>
      <c r="O36" s="8"/>
      <c r="P36" s="8"/>
      <c r="R36" s="9"/>
      <c r="S36" s="8"/>
      <c r="T36" s="8"/>
      <c r="U36" s="8"/>
      <c r="W36" s="9"/>
      <c r="X36" s="8"/>
      <c r="Y36" s="8"/>
      <c r="Z36" s="8"/>
    </row>
    <row r="37" spans="1:26" ht="14.25">
      <c r="A37" s="64"/>
      <c r="B37" s="6" t="s">
        <v>14</v>
      </c>
      <c r="C37" s="7"/>
      <c r="D37" s="7"/>
      <c r="E37" s="7"/>
      <c r="F37" s="7">
        <v>3</v>
      </c>
      <c r="G37" s="7">
        <v>1.25</v>
      </c>
      <c r="H37" s="7"/>
      <c r="I37" s="7"/>
      <c r="J37" s="7"/>
    </row>
    <row r="38" spans="1:26">
      <c r="N38" s="21"/>
      <c r="S38" s="21" t="s">
        <v>54</v>
      </c>
    </row>
    <row r="39" spans="1:26">
      <c r="A39" s="6" t="s">
        <v>129</v>
      </c>
      <c r="B39" s="5" t="s">
        <v>18</v>
      </c>
      <c r="C39" s="6" t="s">
        <v>19</v>
      </c>
      <c r="D39" s="6" t="s">
        <v>20</v>
      </c>
      <c r="E39" s="6" t="s">
        <v>21</v>
      </c>
      <c r="F39" s="6" t="s">
        <v>22</v>
      </c>
      <c r="G39" s="6" t="s">
        <v>23</v>
      </c>
      <c r="H39" s="6" t="s">
        <v>24</v>
      </c>
      <c r="I39" s="6" t="s">
        <v>25</v>
      </c>
      <c r="J39" s="6" t="s">
        <v>26</v>
      </c>
      <c r="M39" s="22"/>
      <c r="N39" s="21"/>
      <c r="O39" s="21"/>
      <c r="P39" s="21"/>
      <c r="R39" s="22" t="s">
        <v>38</v>
      </c>
      <c r="S39" s="21" t="s">
        <v>3</v>
      </c>
      <c r="T39" s="21" t="s">
        <v>5</v>
      </c>
      <c r="U39" s="21" t="s">
        <v>7</v>
      </c>
    </row>
    <row r="40" spans="1:26" ht="14.25">
      <c r="B40" s="6" t="s">
        <v>8</v>
      </c>
      <c r="C40" s="7">
        <v>5</v>
      </c>
      <c r="D40" s="7"/>
      <c r="E40" s="7"/>
      <c r="F40" s="7"/>
      <c r="G40" s="7"/>
      <c r="M40" s="22"/>
      <c r="N40" s="21"/>
      <c r="O40" s="21"/>
      <c r="P40" s="21"/>
      <c r="R40" s="22" t="s">
        <v>19</v>
      </c>
      <c r="S40" s="21">
        <f>N40*0.4</f>
        <v>0</v>
      </c>
      <c r="T40" s="21">
        <f>O40*0.4</f>
        <v>0</v>
      </c>
      <c r="U40" s="21">
        <f>P40*0.4</f>
        <v>0</v>
      </c>
    </row>
    <row r="41" spans="1:26" ht="14.25">
      <c r="B41" s="6" t="s">
        <v>10</v>
      </c>
      <c r="C41" s="7"/>
      <c r="D41" s="7">
        <v>2</v>
      </c>
      <c r="E41" s="7">
        <v>1</v>
      </c>
      <c r="F41" s="7"/>
      <c r="G41" s="7"/>
      <c r="M41" s="22"/>
      <c r="N41" s="21"/>
      <c r="O41" s="21"/>
      <c r="P41" s="21"/>
      <c r="R41" s="22" t="s">
        <v>20</v>
      </c>
      <c r="S41" s="21">
        <f t="shared" ref="S41:S48" si="0">N41*0.4</f>
        <v>0</v>
      </c>
      <c r="T41" s="21">
        <f t="shared" ref="T41:T48" si="1">O41*0.4</f>
        <v>0</v>
      </c>
      <c r="U41" s="21">
        <f t="shared" ref="U41:U48" si="2">P41*0.4</f>
        <v>0</v>
      </c>
    </row>
    <row r="42" spans="1:26" ht="14.25">
      <c r="B42" s="6" t="s">
        <v>12</v>
      </c>
      <c r="C42" s="7"/>
      <c r="D42" s="7"/>
      <c r="E42" s="7"/>
      <c r="F42" s="7"/>
      <c r="G42" s="7"/>
      <c r="H42">
        <v>10</v>
      </c>
      <c r="I42">
        <v>2</v>
      </c>
      <c r="J42" s="56"/>
      <c r="M42" s="22"/>
      <c r="N42" s="21"/>
      <c r="O42" s="21"/>
      <c r="P42" s="21"/>
      <c r="R42" s="22" t="s">
        <v>21</v>
      </c>
      <c r="S42" s="21">
        <f t="shared" si="0"/>
        <v>0</v>
      </c>
      <c r="T42" s="21">
        <f t="shared" si="1"/>
        <v>0</v>
      </c>
      <c r="U42" s="21">
        <f t="shared" si="2"/>
        <v>0</v>
      </c>
    </row>
    <row r="43" spans="1:26" ht="14.25">
      <c r="B43" s="6" t="s">
        <v>14</v>
      </c>
      <c r="C43" s="7"/>
      <c r="D43" s="7"/>
      <c r="E43" s="7"/>
      <c r="F43" s="7">
        <v>2</v>
      </c>
      <c r="G43" s="7">
        <v>1</v>
      </c>
      <c r="M43" s="22"/>
      <c r="N43" s="21"/>
      <c r="O43" s="21"/>
      <c r="P43" s="21"/>
      <c r="R43" s="22" t="s">
        <v>22</v>
      </c>
      <c r="S43" s="21">
        <f t="shared" si="0"/>
        <v>0</v>
      </c>
      <c r="T43" s="21">
        <f t="shared" si="1"/>
        <v>0</v>
      </c>
      <c r="U43" s="21">
        <f t="shared" si="2"/>
        <v>0</v>
      </c>
    </row>
    <row r="44" spans="1:26">
      <c r="M44" s="22"/>
      <c r="N44" s="21"/>
      <c r="O44" s="21"/>
      <c r="P44" s="21"/>
      <c r="R44" s="22" t="s">
        <v>23</v>
      </c>
      <c r="S44" s="21">
        <f t="shared" si="0"/>
        <v>0</v>
      </c>
      <c r="T44" s="21">
        <f t="shared" si="1"/>
        <v>0</v>
      </c>
      <c r="U44" s="21">
        <f t="shared" si="2"/>
        <v>0</v>
      </c>
    </row>
    <row r="45" spans="1:26">
      <c r="M45" s="22"/>
      <c r="N45" s="21"/>
      <c r="O45" s="21"/>
      <c r="P45" s="21"/>
      <c r="R45" s="22" t="s">
        <v>24</v>
      </c>
      <c r="S45" s="21">
        <f t="shared" si="0"/>
        <v>0</v>
      </c>
      <c r="T45" s="21">
        <f t="shared" si="1"/>
        <v>0</v>
      </c>
      <c r="U45" s="21">
        <f t="shared" si="2"/>
        <v>0</v>
      </c>
    </row>
    <row r="46" spans="1:26">
      <c r="M46" s="22"/>
      <c r="N46" s="21"/>
      <c r="O46" s="21"/>
      <c r="P46" s="21"/>
      <c r="R46" s="22" t="s">
        <v>25</v>
      </c>
      <c r="S46" s="21">
        <f t="shared" si="0"/>
        <v>0</v>
      </c>
      <c r="T46" s="21">
        <f t="shared" si="1"/>
        <v>0</v>
      </c>
      <c r="U46" s="21">
        <f t="shared" si="2"/>
        <v>0</v>
      </c>
    </row>
    <row r="47" spans="1:26">
      <c r="C47" s="57" t="s">
        <v>155</v>
      </c>
      <c r="D47" s="57">
        <v>0</v>
      </c>
      <c r="E47" s="57">
        <v>1</v>
      </c>
      <c r="F47" s="57">
        <v>2</v>
      </c>
      <c r="G47" s="57">
        <v>3</v>
      </c>
      <c r="M47" s="22"/>
      <c r="N47" s="21"/>
      <c r="O47" s="21"/>
      <c r="P47" s="21"/>
      <c r="R47" s="22" t="s">
        <v>26</v>
      </c>
      <c r="S47" s="21">
        <f t="shared" si="0"/>
        <v>0</v>
      </c>
      <c r="T47" s="21">
        <f t="shared" si="1"/>
        <v>0</v>
      </c>
      <c r="U47" s="21">
        <f t="shared" si="2"/>
        <v>0</v>
      </c>
    </row>
    <row r="48" spans="1:26">
      <c r="C48" s="57" t="s">
        <v>156</v>
      </c>
      <c r="D48" s="57"/>
      <c r="E48" s="57"/>
      <c r="F48" s="57"/>
      <c r="G48" s="57"/>
      <c r="M48" s="22"/>
      <c r="N48" s="21"/>
      <c r="O48" s="21"/>
      <c r="P48" s="21"/>
      <c r="R48" s="22" t="s">
        <v>35</v>
      </c>
      <c r="S48" s="21">
        <f t="shared" si="0"/>
        <v>0</v>
      </c>
      <c r="T48" s="21">
        <f t="shared" si="1"/>
        <v>0</v>
      </c>
      <c r="U48" s="21">
        <f t="shared" si="2"/>
        <v>0</v>
      </c>
    </row>
    <row r="49" spans="3:17">
      <c r="C49" s="57">
        <v>0</v>
      </c>
      <c r="D49" s="57">
        <v>0.5</v>
      </c>
      <c r="E49" s="57">
        <v>1</v>
      </c>
      <c r="F49" s="57">
        <v>1.5</v>
      </c>
      <c r="G49" s="57">
        <v>2</v>
      </c>
    </row>
    <row r="50" spans="3:17">
      <c r="C50" s="57">
        <v>10</v>
      </c>
      <c r="D50" s="57">
        <v>0.5</v>
      </c>
      <c r="E50" s="57">
        <v>1</v>
      </c>
      <c r="F50" s="57">
        <v>1.5</v>
      </c>
      <c r="G50" s="57">
        <v>2</v>
      </c>
    </row>
    <row r="51" spans="3:17">
      <c r="C51" s="57">
        <v>20</v>
      </c>
      <c r="D51" s="57">
        <v>0.5</v>
      </c>
      <c r="E51" s="57">
        <v>1</v>
      </c>
      <c r="F51" s="57">
        <v>1.5</v>
      </c>
      <c r="G51" s="57">
        <v>2</v>
      </c>
      <c r="M51" s="22"/>
      <c r="N51" s="21"/>
      <c r="O51" s="21"/>
      <c r="P51" s="21"/>
      <c r="Q51" s="21"/>
    </row>
    <row r="52" spans="3:17">
      <c r="C52" s="57">
        <v>30</v>
      </c>
      <c r="D52" s="57">
        <v>0.5</v>
      </c>
      <c r="E52" s="57">
        <v>1</v>
      </c>
      <c r="F52" s="57">
        <v>1.5</v>
      </c>
      <c r="G52" s="57">
        <v>2</v>
      </c>
      <c r="M52" s="22"/>
      <c r="N52" s="21"/>
      <c r="O52" s="21"/>
      <c r="P52" s="21"/>
    </row>
    <row r="53" spans="3:17">
      <c r="C53" s="57">
        <v>40</v>
      </c>
      <c r="D53" s="57">
        <v>0.5</v>
      </c>
      <c r="E53" s="57">
        <v>1</v>
      </c>
      <c r="F53" s="57">
        <v>1.5</v>
      </c>
      <c r="G53" s="57">
        <v>2</v>
      </c>
      <c r="M53" s="22"/>
      <c r="N53" s="21"/>
      <c r="O53" s="21"/>
      <c r="P53" s="21"/>
    </row>
    <row r="54" spans="3:17">
      <c r="M54" s="22"/>
      <c r="N54" s="21"/>
      <c r="O54" s="21"/>
      <c r="P54" s="21"/>
    </row>
    <row r="55" spans="3:17">
      <c r="C55" t="s">
        <v>157</v>
      </c>
      <c r="D55" t="s">
        <v>158</v>
      </c>
      <c r="E55" t="s">
        <v>159</v>
      </c>
      <c r="F55" t="s">
        <v>162</v>
      </c>
      <c r="M55" s="22"/>
      <c r="N55" s="21"/>
      <c r="O55" s="21"/>
      <c r="P55" s="21"/>
    </row>
    <row r="56" spans="3:17">
      <c r="D56" t="s">
        <v>161</v>
      </c>
      <c r="E56" t="s">
        <v>163</v>
      </c>
      <c r="F56" t="s">
        <v>160</v>
      </c>
      <c r="M56" s="22"/>
      <c r="N56" s="21"/>
      <c r="O56" s="21"/>
      <c r="P56" s="21"/>
    </row>
    <row r="57" spans="3:17">
      <c r="M57" s="22"/>
      <c r="N57" s="21"/>
      <c r="O57" s="21"/>
      <c r="P57" s="21"/>
    </row>
    <row r="58" spans="3:17">
      <c r="M58" s="22"/>
      <c r="N58" s="21"/>
      <c r="O58" s="21"/>
      <c r="P58" s="21"/>
    </row>
    <row r="59" spans="3:17">
      <c r="M59" s="22"/>
      <c r="N59" s="21"/>
      <c r="O59" s="21"/>
      <c r="P59" s="21"/>
    </row>
    <row r="60" spans="3:17">
      <c r="M60" s="22"/>
      <c r="N60" s="21"/>
      <c r="O60" s="21"/>
      <c r="P60" s="21"/>
    </row>
  </sheetData>
  <mergeCells count="3">
    <mergeCell ref="A19:A23"/>
    <mergeCell ref="A26:A30"/>
    <mergeCell ref="A33:A37"/>
  </mergeCells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T40"/>
  <sheetViews>
    <sheetView workbookViewId="0">
      <selection activeCell="P16" sqref="P16"/>
    </sheetView>
  </sheetViews>
  <sheetFormatPr defaultRowHeight="13.5"/>
  <cols>
    <col min="1" max="1" width="12" style="24" customWidth="1"/>
    <col min="2" max="2" width="9.625" style="24" customWidth="1"/>
    <col min="3" max="3" width="9.5" style="24" customWidth="1"/>
    <col min="4" max="4" width="10.125" style="24" customWidth="1"/>
    <col min="5" max="6" width="9.25" style="24" customWidth="1"/>
    <col min="7" max="7" width="10.125" style="24" customWidth="1"/>
    <col min="8" max="9" width="9.625" style="24" customWidth="1"/>
    <col min="10" max="16384" width="9" style="24"/>
  </cols>
  <sheetData>
    <row r="2" spans="1:20">
      <c r="A2" s="25"/>
    </row>
    <row r="3" spans="1:20">
      <c r="A3" s="24" t="s">
        <v>71</v>
      </c>
      <c r="H3" s="24" t="s">
        <v>72</v>
      </c>
      <c r="O3" s="24" t="s">
        <v>73</v>
      </c>
    </row>
    <row r="4" spans="1:20">
      <c r="A4" s="17" t="s">
        <v>30</v>
      </c>
      <c r="B4" s="28" t="s">
        <v>19</v>
      </c>
      <c r="C4" s="28" t="s">
        <v>20</v>
      </c>
      <c r="D4" s="28" t="s">
        <v>21</v>
      </c>
      <c r="E4" s="28" t="s">
        <v>22</v>
      </c>
      <c r="F4" s="28" t="s">
        <v>23</v>
      </c>
      <c r="G4" s="29"/>
      <c r="H4" s="17" t="s">
        <v>30</v>
      </c>
      <c r="I4" s="28" t="s">
        <v>19</v>
      </c>
      <c r="J4" s="28" t="s">
        <v>20</v>
      </c>
      <c r="K4" s="28" t="s">
        <v>21</v>
      </c>
      <c r="L4" s="28" t="s">
        <v>22</v>
      </c>
      <c r="M4" s="28" t="s">
        <v>23</v>
      </c>
      <c r="O4" s="17" t="s">
        <v>30</v>
      </c>
      <c r="P4" s="28" t="s">
        <v>19</v>
      </c>
      <c r="Q4" s="28" t="s">
        <v>20</v>
      </c>
      <c r="R4" s="28" t="s">
        <v>21</v>
      </c>
      <c r="S4" s="28" t="s">
        <v>22</v>
      </c>
      <c r="T4" s="28" t="s">
        <v>23</v>
      </c>
    </row>
    <row r="5" spans="1:20">
      <c r="A5" s="53" t="s">
        <v>122</v>
      </c>
      <c r="B5" s="24">
        <f>VLOOKUP(A5,战士装备!A1:G16,3,FALSE)</f>
        <v>0</v>
      </c>
      <c r="C5" s="24">
        <f>VLOOKUP(A5,战士装备!A1:G16,4,FALSE)</f>
        <v>0</v>
      </c>
      <c r="D5" s="24">
        <f>VLOOKUP(A5,战士装备!A1:G16,5,FALSE)</f>
        <v>33</v>
      </c>
      <c r="E5" s="24">
        <f>VLOOKUP(A5,战士装备!A1:G16,6,FALSE)</f>
        <v>0</v>
      </c>
      <c r="F5" s="24">
        <f>VLOOKUP(A5,战士装备!A1:G16,7,FALSE)</f>
        <v>7</v>
      </c>
      <c r="H5" s="54" t="s">
        <v>125</v>
      </c>
      <c r="I5" s="24">
        <f>VLOOKUP(H5,弓箭装备!A1:G16,3,FALSE)</f>
        <v>140</v>
      </c>
      <c r="J5" s="24">
        <f>VLOOKUP(H5,弓箭装备!A1:G16,4,FALSE)</f>
        <v>0</v>
      </c>
      <c r="K5" s="24">
        <f>VLOOKUP(H5,弓箭装备!A1:G16,5,FALSE)</f>
        <v>0</v>
      </c>
      <c r="L5" s="24">
        <f>VLOOKUP(H5,弓箭装备!A1:G16,6,FALSE)</f>
        <v>0</v>
      </c>
      <c r="M5" s="24">
        <f>VLOOKUP(H5,弓箭装备!A1:G16,7,FALSE)</f>
        <v>0</v>
      </c>
      <c r="O5" s="48" t="s">
        <v>120</v>
      </c>
      <c r="P5" s="24">
        <f>VLOOKUP(O5,法师装备!A1:G16,3,FALSE)</f>
        <v>67</v>
      </c>
      <c r="Q5" s="57">
        <f>VLOOKUP(O5,法师装备!A1:G16,4,FALSE)</f>
        <v>0</v>
      </c>
      <c r="R5" s="24">
        <f>VLOOKUP(O5,法师装备!A1:G16,5,FALSE)</f>
        <v>0</v>
      </c>
      <c r="S5" s="24">
        <f>VLOOKUP(O5,法师装备!A1:G16,6,FALSE)</f>
        <v>0</v>
      </c>
      <c r="T5" s="24">
        <f>VLOOKUP(O5,法师装备!A1:G16,7,FALSE)</f>
        <v>0</v>
      </c>
    </row>
    <row r="7" spans="1:20">
      <c r="A7" s="32" t="s">
        <v>74</v>
      </c>
    </row>
    <row r="8" spans="1:20">
      <c r="A8" s="30" t="s">
        <v>28</v>
      </c>
      <c r="B8" s="30" t="s">
        <v>76</v>
      </c>
      <c r="C8" s="30" t="s">
        <v>11</v>
      </c>
      <c r="D8" s="30" t="s">
        <v>77</v>
      </c>
      <c r="E8" s="30" t="s">
        <v>78</v>
      </c>
      <c r="F8" s="31" t="s">
        <v>19</v>
      </c>
      <c r="G8" s="31" t="s">
        <v>20</v>
      </c>
      <c r="H8" s="31" t="s">
        <v>21</v>
      </c>
      <c r="I8" s="31" t="s">
        <v>22</v>
      </c>
      <c r="J8" s="31" t="s">
        <v>23</v>
      </c>
      <c r="K8" s="31" t="s">
        <v>24</v>
      </c>
      <c r="L8" s="31" t="s">
        <v>25</v>
      </c>
      <c r="M8" s="31" t="s">
        <v>26</v>
      </c>
      <c r="N8" s="31"/>
    </row>
    <row r="9" spans="1:20" s="25" customFormat="1">
      <c r="A9" s="33">
        <v>0</v>
      </c>
      <c r="B9" s="61">
        <v>5</v>
      </c>
      <c r="C9" s="61">
        <v>5</v>
      </c>
      <c r="D9" s="61">
        <v>5</v>
      </c>
      <c r="E9" s="61">
        <v>5</v>
      </c>
      <c r="F9" s="61">
        <v>27</v>
      </c>
      <c r="G9" s="61">
        <v>10</v>
      </c>
      <c r="H9" s="61">
        <v>5</v>
      </c>
      <c r="I9" s="61">
        <v>10</v>
      </c>
      <c r="J9" s="61">
        <v>5</v>
      </c>
      <c r="K9" s="61">
        <v>54</v>
      </c>
      <c r="L9" s="61">
        <v>10</v>
      </c>
      <c r="M9" s="61">
        <v>5</v>
      </c>
      <c r="N9" s="33"/>
      <c r="O9" s="57" t="s">
        <v>177</v>
      </c>
      <c r="P9" s="25">
        <v>0.3</v>
      </c>
    </row>
    <row r="10" spans="1:20">
      <c r="A10" s="35">
        <v>1</v>
      </c>
      <c r="B10" s="61">
        <v>11</v>
      </c>
      <c r="C10" s="61">
        <v>11</v>
      </c>
      <c r="D10" s="61">
        <v>11</v>
      </c>
      <c r="E10" s="61">
        <v>11</v>
      </c>
      <c r="F10" s="61">
        <v>57</v>
      </c>
      <c r="G10" s="61">
        <v>22</v>
      </c>
      <c r="H10" s="61">
        <v>11</v>
      </c>
      <c r="I10" s="61">
        <v>22</v>
      </c>
      <c r="J10" s="61">
        <v>11</v>
      </c>
      <c r="K10" s="61">
        <v>114</v>
      </c>
      <c r="L10" s="61">
        <v>22</v>
      </c>
      <c r="M10" s="61">
        <v>11</v>
      </c>
    </row>
    <row r="11" spans="1:20">
      <c r="A11" s="35">
        <v>2</v>
      </c>
      <c r="B11" s="61">
        <v>17</v>
      </c>
      <c r="C11" s="61">
        <v>17</v>
      </c>
      <c r="D11" s="61">
        <v>17</v>
      </c>
      <c r="E11" s="61">
        <v>17</v>
      </c>
      <c r="F11" s="61">
        <v>87</v>
      </c>
      <c r="G11" s="61">
        <v>34</v>
      </c>
      <c r="H11" s="61">
        <v>17</v>
      </c>
      <c r="I11" s="61">
        <v>34</v>
      </c>
      <c r="J11" s="61">
        <v>17</v>
      </c>
      <c r="K11" s="61">
        <v>174</v>
      </c>
      <c r="L11" s="61">
        <v>34</v>
      </c>
      <c r="M11" s="61">
        <v>17</v>
      </c>
    </row>
    <row r="12" spans="1:20">
      <c r="A12" s="35">
        <v>3</v>
      </c>
      <c r="B12" s="61">
        <v>23</v>
      </c>
      <c r="C12" s="61">
        <v>23</v>
      </c>
      <c r="D12" s="61">
        <v>23</v>
      </c>
      <c r="E12" s="61">
        <v>23</v>
      </c>
      <c r="F12" s="61">
        <v>117</v>
      </c>
      <c r="G12" s="61">
        <v>46</v>
      </c>
      <c r="H12" s="61">
        <v>23</v>
      </c>
      <c r="I12" s="61">
        <v>46</v>
      </c>
      <c r="J12" s="61">
        <v>23</v>
      </c>
      <c r="K12" s="61">
        <v>234</v>
      </c>
      <c r="L12" s="61">
        <v>46</v>
      </c>
      <c r="M12" s="61">
        <v>23</v>
      </c>
    </row>
    <row r="13" spans="1:20">
      <c r="A13" s="24">
        <v>4</v>
      </c>
      <c r="B13" s="61">
        <v>29</v>
      </c>
      <c r="C13" s="61">
        <v>29</v>
      </c>
      <c r="D13" s="61">
        <v>29</v>
      </c>
      <c r="E13" s="61">
        <v>29</v>
      </c>
      <c r="F13" s="61">
        <v>147</v>
      </c>
      <c r="G13" s="61">
        <v>58</v>
      </c>
      <c r="H13" s="61">
        <v>29</v>
      </c>
      <c r="I13" s="61">
        <v>58</v>
      </c>
      <c r="J13" s="61">
        <v>29</v>
      </c>
      <c r="K13" s="61">
        <v>294</v>
      </c>
      <c r="L13" s="61">
        <v>58</v>
      </c>
      <c r="M13" s="61">
        <v>29</v>
      </c>
    </row>
    <row r="15" spans="1:20" ht="15" customHeight="1">
      <c r="A15" s="32" t="s">
        <v>80</v>
      </c>
    </row>
    <row r="16" spans="1:20">
      <c r="A16" s="30" t="s">
        <v>79</v>
      </c>
      <c r="B16" s="30" t="s">
        <v>76</v>
      </c>
      <c r="C16" s="30" t="s">
        <v>75</v>
      </c>
      <c r="D16" s="30" t="s">
        <v>77</v>
      </c>
      <c r="E16" s="30" t="s">
        <v>78</v>
      </c>
      <c r="F16" s="31" t="s">
        <v>19</v>
      </c>
      <c r="G16" s="31" t="s">
        <v>20</v>
      </c>
      <c r="H16" s="31" t="s">
        <v>21</v>
      </c>
      <c r="I16" s="31" t="s">
        <v>22</v>
      </c>
      <c r="J16" s="31" t="s">
        <v>23</v>
      </c>
      <c r="K16" s="31" t="s">
        <v>24</v>
      </c>
      <c r="L16" s="31" t="s">
        <v>25</v>
      </c>
      <c r="M16" s="31" t="s">
        <v>26</v>
      </c>
      <c r="N16" s="31"/>
    </row>
    <row r="17" spans="1:16">
      <c r="A17" s="24">
        <v>0</v>
      </c>
      <c r="B17" s="24">
        <f>VLOOKUP(A17,A8:N13,2,FALSE)</f>
        <v>5</v>
      </c>
      <c r="C17" s="24">
        <f>VLOOKUP(A17,A8:N13,3,FALSE)</f>
        <v>5</v>
      </c>
      <c r="D17" s="24">
        <f>VLOOKUP(A17,A8:N13,4,FALSE)</f>
        <v>5</v>
      </c>
      <c r="E17" s="24">
        <f>VLOOKUP(A17,A8:N13,5,FALSE)</f>
        <v>5</v>
      </c>
      <c r="F17" s="24">
        <f>VLOOKUP(A17,A8:N13,6,FALSE)</f>
        <v>27</v>
      </c>
      <c r="G17" s="24">
        <f>VLOOKUP(A17,A8:N13,7,FALSE)</f>
        <v>10</v>
      </c>
      <c r="H17" s="24">
        <f>VLOOKUP(A17,A8:N13,8,FALSE)</f>
        <v>5</v>
      </c>
      <c r="I17" s="24">
        <f>VLOOKUP(A17,A8:N13,9,FALSE)</f>
        <v>10</v>
      </c>
      <c r="J17" s="24">
        <f>VLOOKUP(A17,A8:N13,10,FALSE)</f>
        <v>5</v>
      </c>
      <c r="K17" s="24">
        <f>VLOOKUP(A17,A8:N13,11,FALSE)</f>
        <v>54</v>
      </c>
      <c r="L17" s="24">
        <f>VLOOKUP(A17,A8:N13,12,FALSE)</f>
        <v>10</v>
      </c>
      <c r="M17" s="24">
        <f>VLOOKUP(A17,A8:N13,13,FALSE)</f>
        <v>5</v>
      </c>
    </row>
    <row r="19" spans="1:16">
      <c r="A19" s="32" t="s">
        <v>106</v>
      </c>
    </row>
    <row r="20" spans="1:16">
      <c r="A20" s="30" t="s">
        <v>103</v>
      </c>
      <c r="B20" s="30" t="s">
        <v>104</v>
      </c>
      <c r="C20" s="30" t="s">
        <v>105</v>
      </c>
      <c r="D20" s="30" t="s">
        <v>9</v>
      </c>
      <c r="E20" s="30" t="s">
        <v>11</v>
      </c>
      <c r="F20" s="30" t="s">
        <v>13</v>
      </c>
      <c r="G20" s="30" t="s">
        <v>15</v>
      </c>
      <c r="H20" s="31" t="s">
        <v>19</v>
      </c>
      <c r="I20" s="31" t="s">
        <v>20</v>
      </c>
      <c r="J20" s="31" t="s">
        <v>21</v>
      </c>
      <c r="K20" s="31" t="s">
        <v>22</v>
      </c>
      <c r="L20" s="31" t="s">
        <v>23</v>
      </c>
      <c r="M20" s="31" t="s">
        <v>24</v>
      </c>
      <c r="N20" s="31" t="s">
        <v>25</v>
      </c>
      <c r="O20" s="31" t="s">
        <v>26</v>
      </c>
      <c r="P20" s="31"/>
    </row>
    <row r="21" spans="1:16">
      <c r="A21" s="54">
        <v>0</v>
      </c>
      <c r="B21" s="54">
        <v>0</v>
      </c>
      <c r="C21" s="24">
        <v>0</v>
      </c>
      <c r="D21" s="24">
        <v>0</v>
      </c>
      <c r="E21" s="24">
        <v>0</v>
      </c>
      <c r="F21" s="24">
        <v>0</v>
      </c>
      <c r="G21" s="24">
        <v>0</v>
      </c>
      <c r="H21" s="24">
        <v>0</v>
      </c>
      <c r="I21" s="36">
        <v>0</v>
      </c>
      <c r="J21" s="24">
        <v>0</v>
      </c>
      <c r="K21" s="24">
        <v>0</v>
      </c>
      <c r="L21" s="24">
        <v>0</v>
      </c>
      <c r="M21" s="35">
        <v>0</v>
      </c>
      <c r="N21" s="24">
        <v>0</v>
      </c>
      <c r="O21" s="24">
        <v>0</v>
      </c>
    </row>
    <row r="23" spans="1:16">
      <c r="A23" s="32" t="s">
        <v>74</v>
      </c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O23" s="63" t="s">
        <v>60</v>
      </c>
    </row>
    <row r="24" spans="1:16">
      <c r="A24" s="30" t="s">
        <v>28</v>
      </c>
      <c r="B24" s="30" t="s">
        <v>9</v>
      </c>
      <c r="C24" s="30" t="s">
        <v>11</v>
      </c>
      <c r="D24" s="30" t="s">
        <v>13</v>
      </c>
      <c r="E24" s="30" t="s">
        <v>15</v>
      </c>
      <c r="F24" s="31" t="s">
        <v>19</v>
      </c>
      <c r="G24" s="31" t="s">
        <v>20</v>
      </c>
      <c r="H24" s="31" t="s">
        <v>21</v>
      </c>
      <c r="I24" s="31" t="s">
        <v>22</v>
      </c>
      <c r="J24" s="31" t="s">
        <v>23</v>
      </c>
      <c r="K24" s="31" t="s">
        <v>24</v>
      </c>
      <c r="L24" s="31" t="s">
        <v>25</v>
      </c>
      <c r="M24" s="31" t="s">
        <v>26</v>
      </c>
    </row>
    <row r="25" spans="1:16">
      <c r="A25" s="33">
        <v>0</v>
      </c>
      <c r="B25" s="61">
        <v>18</v>
      </c>
      <c r="C25" s="61">
        <v>18</v>
      </c>
      <c r="D25" s="61">
        <v>18</v>
      </c>
      <c r="E25" s="61">
        <v>18</v>
      </c>
      <c r="F25" s="61">
        <v>90</v>
      </c>
      <c r="G25" s="61">
        <v>36</v>
      </c>
      <c r="H25" s="61">
        <v>18</v>
      </c>
      <c r="I25" s="61">
        <v>36</v>
      </c>
      <c r="J25" s="61">
        <v>18</v>
      </c>
      <c r="K25" s="61">
        <v>180</v>
      </c>
      <c r="L25" s="61">
        <v>36</v>
      </c>
      <c r="M25" s="61">
        <v>18</v>
      </c>
    </row>
    <row r="26" spans="1:16">
      <c r="A26" s="57">
        <v>1</v>
      </c>
      <c r="B26" s="61">
        <v>38</v>
      </c>
      <c r="C26" s="61">
        <v>38</v>
      </c>
      <c r="D26" s="61">
        <v>38</v>
      </c>
      <c r="E26" s="61">
        <v>38</v>
      </c>
      <c r="F26" s="61">
        <v>190</v>
      </c>
      <c r="G26" s="61">
        <v>76</v>
      </c>
      <c r="H26" s="61">
        <v>38</v>
      </c>
      <c r="I26" s="61">
        <v>76</v>
      </c>
      <c r="J26" s="61">
        <v>38</v>
      </c>
      <c r="K26" s="61">
        <v>380</v>
      </c>
      <c r="L26" s="61">
        <v>76</v>
      </c>
      <c r="M26" s="61">
        <v>38</v>
      </c>
    </row>
    <row r="27" spans="1:16">
      <c r="A27" s="57">
        <v>2</v>
      </c>
      <c r="B27" s="61">
        <v>58</v>
      </c>
      <c r="C27" s="61">
        <v>58</v>
      </c>
      <c r="D27" s="61">
        <v>58</v>
      </c>
      <c r="E27" s="61">
        <v>58</v>
      </c>
      <c r="F27" s="61">
        <v>290</v>
      </c>
      <c r="G27" s="61">
        <v>116</v>
      </c>
      <c r="H27" s="61">
        <v>58</v>
      </c>
      <c r="I27" s="61">
        <v>116</v>
      </c>
      <c r="J27" s="61">
        <v>58</v>
      </c>
      <c r="K27" s="61">
        <v>580</v>
      </c>
      <c r="L27" s="61">
        <v>116</v>
      </c>
      <c r="M27" s="61">
        <v>58</v>
      </c>
    </row>
    <row r="28" spans="1:16">
      <c r="A28" s="57">
        <v>3</v>
      </c>
      <c r="B28" s="61">
        <v>78</v>
      </c>
      <c r="C28" s="61">
        <v>78</v>
      </c>
      <c r="D28" s="61">
        <v>78</v>
      </c>
      <c r="E28" s="61">
        <v>78</v>
      </c>
      <c r="F28" s="61">
        <v>390</v>
      </c>
      <c r="G28" s="61">
        <v>156</v>
      </c>
      <c r="H28" s="61">
        <v>78</v>
      </c>
      <c r="I28" s="61">
        <v>156</v>
      </c>
      <c r="J28" s="61">
        <v>78</v>
      </c>
      <c r="K28" s="61">
        <v>780</v>
      </c>
      <c r="L28" s="61">
        <v>156</v>
      </c>
      <c r="M28" s="61">
        <v>78</v>
      </c>
    </row>
    <row r="29" spans="1:16">
      <c r="A29" s="57">
        <v>4</v>
      </c>
      <c r="B29" s="61">
        <v>98</v>
      </c>
      <c r="C29" s="61">
        <v>98</v>
      </c>
      <c r="D29" s="61">
        <v>98</v>
      </c>
      <c r="E29" s="61">
        <v>98</v>
      </c>
      <c r="F29" s="61">
        <v>490</v>
      </c>
      <c r="G29" s="61">
        <v>196</v>
      </c>
      <c r="H29" s="61">
        <v>98</v>
      </c>
      <c r="I29" s="61">
        <v>196</v>
      </c>
      <c r="J29" s="61">
        <v>98</v>
      </c>
      <c r="K29" s="61">
        <v>980</v>
      </c>
      <c r="L29" s="61">
        <v>196</v>
      </c>
      <c r="M29" s="61">
        <v>98</v>
      </c>
    </row>
    <row r="36" spans="1:16">
      <c r="A36" s="24">
        <v>3</v>
      </c>
    </row>
    <row r="40" spans="1:16">
      <c r="A40" s="63">
        <v>0</v>
      </c>
      <c r="B40" s="63">
        <v>0</v>
      </c>
      <c r="C40" s="24">
        <v>0</v>
      </c>
      <c r="D40" s="24">
        <v>0</v>
      </c>
      <c r="E40" s="24">
        <v>0</v>
      </c>
      <c r="F40" s="24">
        <v>0</v>
      </c>
      <c r="G40" s="24">
        <v>0</v>
      </c>
      <c r="H40" s="24">
        <v>0</v>
      </c>
      <c r="I40" s="24">
        <v>0</v>
      </c>
      <c r="J40" s="24">
        <v>0</v>
      </c>
      <c r="K40" s="24">
        <v>0</v>
      </c>
      <c r="L40" s="24">
        <v>0</v>
      </c>
      <c r="M40" s="24">
        <v>0</v>
      </c>
      <c r="N40" s="24">
        <v>0</v>
      </c>
      <c r="O40" s="24">
        <v>0</v>
      </c>
      <c r="P40" s="24">
        <v>0</v>
      </c>
    </row>
  </sheetData>
  <phoneticPr fontId="1" type="noConversion"/>
  <dataValidations count="4">
    <dataValidation type="list" allowBlank="1" showInputMessage="1" showErrorMessage="1" sqref="A17">
      <formula1>$A$9:$A$13</formula1>
    </dataValidation>
    <dataValidation type="list" allowBlank="1" showInputMessage="1" showErrorMessage="1" sqref="O5">
      <formula1>#REF!</formula1>
    </dataValidation>
    <dataValidation type="list" allowBlank="1" showInputMessage="1" showErrorMessage="1" sqref="H5">
      <formula1>#REF!</formula1>
    </dataValidation>
    <dataValidation type="list" allowBlank="1" showInputMessage="1" showErrorMessage="1" sqref="A5">
      <formula1>#REF!</formula1>
    </dataValidation>
  </dataValidations>
  <pageMargins left="0.7" right="0.7" top="0.75" bottom="0.75" header="0.3" footer="0.3"/>
  <legacyDrawing r:id="rId1"/>
  <controls>
    <control shapeId="14339" r:id="rId2" name="CommandButton1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G51"/>
  <sheetViews>
    <sheetView topLeftCell="A4" workbookViewId="0">
      <selection activeCell="C26" sqref="C26"/>
    </sheetView>
  </sheetViews>
  <sheetFormatPr defaultRowHeight="13.5"/>
  <cols>
    <col min="2" max="2" width="10.625" customWidth="1"/>
    <col min="3" max="3" width="19" customWidth="1"/>
    <col min="4" max="4" width="20.875" customWidth="1"/>
    <col min="5" max="5" width="21.125" customWidth="1"/>
    <col min="6" max="6" width="16.625" customWidth="1"/>
    <col min="7" max="7" width="16.75" customWidth="1"/>
  </cols>
  <sheetData>
    <row r="1" spans="1:7">
      <c r="A1" t="s">
        <v>48</v>
      </c>
      <c r="B1" t="s">
        <v>49</v>
      </c>
      <c r="C1" t="s">
        <v>52</v>
      </c>
      <c r="D1" t="s">
        <v>53</v>
      </c>
      <c r="E1" s="55" t="s">
        <v>126</v>
      </c>
      <c r="F1" t="s">
        <v>127</v>
      </c>
      <c r="G1" t="s">
        <v>50</v>
      </c>
    </row>
    <row r="2" spans="1:7">
      <c r="A2">
        <v>1</v>
      </c>
      <c r="B2">
        <f>INT((A2-1)^3*(A2-1)*2+20)</f>
        <v>20</v>
      </c>
      <c r="C2">
        <f>2+INT(A2/10)</f>
        <v>2</v>
      </c>
      <c r="D2">
        <v>1</v>
      </c>
      <c r="E2">
        <v>1</v>
      </c>
      <c r="F2">
        <v>1</v>
      </c>
      <c r="G2">
        <f>EVEN(B2/E2)</f>
        <v>20</v>
      </c>
    </row>
    <row r="3" spans="1:7">
      <c r="A3">
        <v>2</v>
      </c>
      <c r="B3">
        <f t="shared" ref="B3:B51" si="0">INT((A3-1)^3*(A3-1)*2+20)</f>
        <v>22</v>
      </c>
      <c r="C3">
        <f t="shared" ref="C3:C51" si="1">2+INT(A3/10)</f>
        <v>2</v>
      </c>
      <c r="D3">
        <v>2</v>
      </c>
      <c r="E3">
        <v>2</v>
      </c>
      <c r="F3">
        <f>F2+E3</f>
        <v>3</v>
      </c>
      <c r="G3">
        <f t="shared" ref="G3:G51" si="2">EVEN(B3/E3)</f>
        <v>12</v>
      </c>
    </row>
    <row r="4" spans="1:7">
      <c r="A4">
        <v>3</v>
      </c>
      <c r="B4">
        <f t="shared" si="0"/>
        <v>52</v>
      </c>
      <c r="C4">
        <f t="shared" si="1"/>
        <v>2</v>
      </c>
      <c r="D4">
        <v>3</v>
      </c>
      <c r="E4">
        <v>3</v>
      </c>
      <c r="F4">
        <f>F3+E4</f>
        <v>6</v>
      </c>
      <c r="G4">
        <f t="shared" si="2"/>
        <v>18</v>
      </c>
    </row>
    <row r="5" spans="1:7">
      <c r="A5">
        <v>4</v>
      </c>
      <c r="B5">
        <f t="shared" si="0"/>
        <v>182</v>
      </c>
      <c r="C5">
        <f t="shared" si="1"/>
        <v>2</v>
      </c>
      <c r="D5">
        <v>4</v>
      </c>
      <c r="E5">
        <v>4</v>
      </c>
      <c r="F5">
        <f t="shared" ref="F5:F51" si="3">F4+E5</f>
        <v>10</v>
      </c>
      <c r="G5">
        <f t="shared" si="2"/>
        <v>46</v>
      </c>
    </row>
    <row r="6" spans="1:7">
      <c r="A6">
        <v>5</v>
      </c>
      <c r="B6">
        <f t="shared" si="0"/>
        <v>532</v>
      </c>
      <c r="C6">
        <f t="shared" si="1"/>
        <v>2</v>
      </c>
      <c r="D6">
        <v>5</v>
      </c>
      <c r="E6">
        <v>5</v>
      </c>
      <c r="F6">
        <f t="shared" si="3"/>
        <v>15</v>
      </c>
      <c r="G6">
        <f t="shared" si="2"/>
        <v>108</v>
      </c>
    </row>
    <row r="7" spans="1:7">
      <c r="A7">
        <v>6</v>
      </c>
      <c r="B7">
        <f t="shared" si="0"/>
        <v>1270</v>
      </c>
      <c r="C7">
        <f t="shared" si="1"/>
        <v>2</v>
      </c>
      <c r="D7">
        <v>6</v>
      </c>
      <c r="E7">
        <v>6</v>
      </c>
      <c r="F7">
        <f t="shared" si="3"/>
        <v>21</v>
      </c>
      <c r="G7">
        <f t="shared" si="2"/>
        <v>212</v>
      </c>
    </row>
    <row r="8" spans="1:7">
      <c r="A8">
        <v>7</v>
      </c>
      <c r="B8">
        <f t="shared" si="0"/>
        <v>2612</v>
      </c>
      <c r="C8">
        <f t="shared" si="1"/>
        <v>2</v>
      </c>
      <c r="D8">
        <v>7</v>
      </c>
      <c r="E8">
        <v>7</v>
      </c>
      <c r="F8">
        <f t="shared" si="3"/>
        <v>28</v>
      </c>
      <c r="G8">
        <f t="shared" si="2"/>
        <v>374</v>
      </c>
    </row>
    <row r="9" spans="1:7">
      <c r="A9">
        <v>8</v>
      </c>
      <c r="B9">
        <f t="shared" si="0"/>
        <v>4822</v>
      </c>
      <c r="C9">
        <f t="shared" si="1"/>
        <v>2</v>
      </c>
      <c r="D9">
        <v>8</v>
      </c>
      <c r="E9">
        <v>8</v>
      </c>
      <c r="F9">
        <f t="shared" si="3"/>
        <v>36</v>
      </c>
      <c r="G9">
        <f t="shared" si="2"/>
        <v>604</v>
      </c>
    </row>
    <row r="10" spans="1:7">
      <c r="A10">
        <v>9</v>
      </c>
      <c r="B10">
        <f t="shared" si="0"/>
        <v>8212</v>
      </c>
      <c r="C10">
        <f t="shared" si="1"/>
        <v>2</v>
      </c>
      <c r="D10">
        <v>9</v>
      </c>
      <c r="E10">
        <v>9</v>
      </c>
      <c r="F10">
        <f t="shared" si="3"/>
        <v>45</v>
      </c>
      <c r="G10">
        <f t="shared" si="2"/>
        <v>914</v>
      </c>
    </row>
    <row r="11" spans="1:7">
      <c r="A11">
        <v>10</v>
      </c>
      <c r="B11">
        <f t="shared" si="0"/>
        <v>13142</v>
      </c>
      <c r="C11">
        <f t="shared" si="1"/>
        <v>3</v>
      </c>
      <c r="D11">
        <v>10</v>
      </c>
      <c r="E11">
        <v>10</v>
      </c>
      <c r="F11">
        <f t="shared" si="3"/>
        <v>55</v>
      </c>
      <c r="G11">
        <f t="shared" si="2"/>
        <v>1316</v>
      </c>
    </row>
    <row r="12" spans="1:7">
      <c r="A12">
        <v>11</v>
      </c>
      <c r="B12">
        <f t="shared" si="0"/>
        <v>20020</v>
      </c>
      <c r="C12">
        <f t="shared" si="1"/>
        <v>3</v>
      </c>
      <c r="D12">
        <v>11</v>
      </c>
      <c r="E12">
        <v>11</v>
      </c>
      <c r="F12">
        <f t="shared" si="3"/>
        <v>66</v>
      </c>
      <c r="G12">
        <f t="shared" si="2"/>
        <v>1820</v>
      </c>
    </row>
    <row r="13" spans="1:7">
      <c r="A13">
        <v>12</v>
      </c>
      <c r="B13">
        <f t="shared" si="0"/>
        <v>29302</v>
      </c>
      <c r="C13">
        <f t="shared" si="1"/>
        <v>3</v>
      </c>
      <c r="D13">
        <v>12</v>
      </c>
      <c r="E13">
        <v>12</v>
      </c>
      <c r="F13">
        <f t="shared" si="3"/>
        <v>78</v>
      </c>
      <c r="G13">
        <f t="shared" si="2"/>
        <v>2442</v>
      </c>
    </row>
    <row r="14" spans="1:7">
      <c r="A14">
        <v>13</v>
      </c>
      <c r="B14">
        <f t="shared" si="0"/>
        <v>41492</v>
      </c>
      <c r="C14">
        <f t="shared" si="1"/>
        <v>3</v>
      </c>
      <c r="D14">
        <v>13</v>
      </c>
      <c r="E14">
        <v>13</v>
      </c>
      <c r="F14">
        <f t="shared" si="3"/>
        <v>91</v>
      </c>
      <c r="G14">
        <f t="shared" si="2"/>
        <v>3192</v>
      </c>
    </row>
    <row r="15" spans="1:7">
      <c r="A15">
        <v>14</v>
      </c>
      <c r="B15">
        <f t="shared" si="0"/>
        <v>57142</v>
      </c>
      <c r="C15">
        <f t="shared" si="1"/>
        <v>3</v>
      </c>
      <c r="D15">
        <v>14</v>
      </c>
      <c r="E15">
        <v>14</v>
      </c>
      <c r="F15">
        <f t="shared" si="3"/>
        <v>105</v>
      </c>
      <c r="G15">
        <f t="shared" si="2"/>
        <v>4082</v>
      </c>
    </row>
    <row r="16" spans="1:7">
      <c r="A16">
        <v>15</v>
      </c>
      <c r="B16">
        <f t="shared" si="0"/>
        <v>76852</v>
      </c>
      <c r="C16">
        <f t="shared" si="1"/>
        <v>3</v>
      </c>
      <c r="D16">
        <v>15</v>
      </c>
      <c r="E16">
        <v>15</v>
      </c>
      <c r="F16">
        <f t="shared" si="3"/>
        <v>120</v>
      </c>
      <c r="G16">
        <f t="shared" si="2"/>
        <v>5124</v>
      </c>
    </row>
    <row r="17" spans="1:7">
      <c r="A17">
        <v>16</v>
      </c>
      <c r="B17">
        <f t="shared" si="0"/>
        <v>101270</v>
      </c>
      <c r="C17">
        <f t="shared" si="1"/>
        <v>3</v>
      </c>
      <c r="D17">
        <v>16</v>
      </c>
      <c r="E17">
        <v>16</v>
      </c>
      <c r="F17">
        <f t="shared" si="3"/>
        <v>136</v>
      </c>
      <c r="G17">
        <f t="shared" si="2"/>
        <v>6330</v>
      </c>
    </row>
    <row r="18" spans="1:7">
      <c r="A18">
        <v>17</v>
      </c>
      <c r="B18">
        <f t="shared" si="0"/>
        <v>131092</v>
      </c>
      <c r="C18">
        <f t="shared" si="1"/>
        <v>3</v>
      </c>
      <c r="D18">
        <v>17</v>
      </c>
      <c r="E18">
        <v>17</v>
      </c>
      <c r="F18">
        <f t="shared" si="3"/>
        <v>153</v>
      </c>
      <c r="G18">
        <f t="shared" si="2"/>
        <v>7712</v>
      </c>
    </row>
    <row r="19" spans="1:7">
      <c r="A19">
        <v>18</v>
      </c>
      <c r="B19">
        <f t="shared" si="0"/>
        <v>167062</v>
      </c>
      <c r="C19">
        <f t="shared" si="1"/>
        <v>3</v>
      </c>
      <c r="D19">
        <v>18</v>
      </c>
      <c r="E19">
        <v>18</v>
      </c>
      <c r="F19">
        <f t="shared" si="3"/>
        <v>171</v>
      </c>
      <c r="G19">
        <f t="shared" si="2"/>
        <v>9282</v>
      </c>
    </row>
    <row r="20" spans="1:7">
      <c r="A20">
        <v>19</v>
      </c>
      <c r="B20">
        <f t="shared" si="0"/>
        <v>209972</v>
      </c>
      <c r="C20">
        <f t="shared" si="1"/>
        <v>3</v>
      </c>
      <c r="D20">
        <v>19</v>
      </c>
      <c r="E20">
        <v>19</v>
      </c>
      <c r="F20">
        <f t="shared" si="3"/>
        <v>190</v>
      </c>
      <c r="G20">
        <f t="shared" si="2"/>
        <v>11052</v>
      </c>
    </row>
    <row r="21" spans="1:7">
      <c r="A21">
        <v>20</v>
      </c>
      <c r="B21">
        <f t="shared" si="0"/>
        <v>260662</v>
      </c>
      <c r="C21">
        <f t="shared" si="1"/>
        <v>4</v>
      </c>
      <c r="D21">
        <v>20</v>
      </c>
      <c r="E21">
        <v>20</v>
      </c>
      <c r="F21">
        <f t="shared" si="3"/>
        <v>210</v>
      </c>
      <c r="G21">
        <f t="shared" si="2"/>
        <v>13034</v>
      </c>
    </row>
    <row r="22" spans="1:7">
      <c r="A22">
        <v>21</v>
      </c>
      <c r="B22">
        <f t="shared" si="0"/>
        <v>320020</v>
      </c>
      <c r="C22">
        <f t="shared" si="1"/>
        <v>4</v>
      </c>
      <c r="D22">
        <v>21</v>
      </c>
      <c r="E22">
        <v>21</v>
      </c>
      <c r="F22">
        <f t="shared" si="3"/>
        <v>231</v>
      </c>
      <c r="G22">
        <f t="shared" si="2"/>
        <v>15240</v>
      </c>
    </row>
    <row r="23" spans="1:7">
      <c r="A23">
        <v>22</v>
      </c>
      <c r="B23">
        <f t="shared" si="0"/>
        <v>388982</v>
      </c>
      <c r="C23">
        <f t="shared" si="1"/>
        <v>4</v>
      </c>
      <c r="D23">
        <v>22</v>
      </c>
      <c r="E23">
        <v>22</v>
      </c>
      <c r="F23">
        <f t="shared" si="3"/>
        <v>253</v>
      </c>
      <c r="G23">
        <f t="shared" si="2"/>
        <v>17682</v>
      </c>
    </row>
    <row r="24" spans="1:7">
      <c r="A24">
        <v>23</v>
      </c>
      <c r="B24">
        <f t="shared" si="0"/>
        <v>468532</v>
      </c>
      <c r="C24">
        <f t="shared" si="1"/>
        <v>4</v>
      </c>
      <c r="D24">
        <v>23</v>
      </c>
      <c r="E24">
        <v>23</v>
      </c>
      <c r="F24">
        <f t="shared" si="3"/>
        <v>276</v>
      </c>
      <c r="G24">
        <f t="shared" si="2"/>
        <v>20372</v>
      </c>
    </row>
    <row r="25" spans="1:7">
      <c r="A25">
        <v>24</v>
      </c>
      <c r="B25">
        <f t="shared" si="0"/>
        <v>559702</v>
      </c>
      <c r="C25">
        <f t="shared" si="1"/>
        <v>4</v>
      </c>
      <c r="D25">
        <v>24</v>
      </c>
      <c r="E25">
        <v>24</v>
      </c>
      <c r="F25">
        <f t="shared" si="3"/>
        <v>300</v>
      </c>
      <c r="G25">
        <f t="shared" si="2"/>
        <v>23322</v>
      </c>
    </row>
    <row r="26" spans="1:7">
      <c r="A26">
        <v>25</v>
      </c>
      <c r="B26">
        <f t="shared" si="0"/>
        <v>663572</v>
      </c>
      <c r="C26">
        <f t="shared" si="1"/>
        <v>4</v>
      </c>
      <c r="D26">
        <v>25</v>
      </c>
      <c r="E26">
        <v>25</v>
      </c>
      <c r="F26">
        <f t="shared" si="3"/>
        <v>325</v>
      </c>
      <c r="G26">
        <f t="shared" si="2"/>
        <v>26544</v>
      </c>
    </row>
    <row r="27" spans="1:7">
      <c r="A27">
        <v>26</v>
      </c>
      <c r="B27">
        <f t="shared" si="0"/>
        <v>781270</v>
      </c>
      <c r="C27">
        <f t="shared" si="1"/>
        <v>4</v>
      </c>
      <c r="D27">
        <v>26</v>
      </c>
      <c r="E27">
        <v>26</v>
      </c>
      <c r="F27">
        <f t="shared" si="3"/>
        <v>351</v>
      </c>
      <c r="G27">
        <f t="shared" si="2"/>
        <v>30050</v>
      </c>
    </row>
    <row r="28" spans="1:7">
      <c r="A28">
        <v>27</v>
      </c>
      <c r="B28">
        <f t="shared" si="0"/>
        <v>913972</v>
      </c>
      <c r="C28">
        <f t="shared" si="1"/>
        <v>4</v>
      </c>
      <c r="D28">
        <v>27</v>
      </c>
      <c r="E28">
        <v>27</v>
      </c>
      <c r="F28">
        <f t="shared" si="3"/>
        <v>378</v>
      </c>
      <c r="G28">
        <f t="shared" si="2"/>
        <v>33852</v>
      </c>
    </row>
    <row r="29" spans="1:7">
      <c r="A29">
        <v>28</v>
      </c>
      <c r="B29">
        <f t="shared" si="0"/>
        <v>1062902</v>
      </c>
      <c r="C29">
        <f t="shared" si="1"/>
        <v>4</v>
      </c>
      <c r="D29">
        <v>28</v>
      </c>
      <c r="E29">
        <v>28</v>
      </c>
      <c r="F29">
        <f t="shared" si="3"/>
        <v>406</v>
      </c>
      <c r="G29">
        <f t="shared" si="2"/>
        <v>37962</v>
      </c>
    </row>
    <row r="30" spans="1:7">
      <c r="A30">
        <v>29</v>
      </c>
      <c r="B30">
        <f t="shared" si="0"/>
        <v>1229332</v>
      </c>
      <c r="C30">
        <f t="shared" si="1"/>
        <v>4</v>
      </c>
      <c r="D30">
        <v>29</v>
      </c>
      <c r="E30">
        <v>29</v>
      </c>
      <c r="F30">
        <f t="shared" si="3"/>
        <v>435</v>
      </c>
      <c r="G30">
        <f t="shared" si="2"/>
        <v>42392</v>
      </c>
    </row>
    <row r="31" spans="1:7">
      <c r="A31">
        <v>30</v>
      </c>
      <c r="B31">
        <f t="shared" si="0"/>
        <v>1414582</v>
      </c>
      <c r="C31">
        <f t="shared" si="1"/>
        <v>5</v>
      </c>
      <c r="D31">
        <v>30</v>
      </c>
      <c r="E31">
        <v>30</v>
      </c>
      <c r="F31">
        <f t="shared" si="3"/>
        <v>465</v>
      </c>
      <c r="G31">
        <f t="shared" si="2"/>
        <v>47154</v>
      </c>
    </row>
    <row r="32" spans="1:7">
      <c r="A32">
        <v>31</v>
      </c>
      <c r="B32">
        <f t="shared" si="0"/>
        <v>1620020</v>
      </c>
      <c r="C32">
        <f t="shared" si="1"/>
        <v>5</v>
      </c>
      <c r="D32">
        <v>31</v>
      </c>
      <c r="E32">
        <v>31</v>
      </c>
      <c r="F32">
        <f t="shared" si="3"/>
        <v>496</v>
      </c>
      <c r="G32">
        <f t="shared" si="2"/>
        <v>52260</v>
      </c>
    </row>
    <row r="33" spans="1:7">
      <c r="A33">
        <v>32</v>
      </c>
      <c r="B33">
        <f t="shared" si="0"/>
        <v>1847062</v>
      </c>
      <c r="C33">
        <f t="shared" si="1"/>
        <v>5</v>
      </c>
      <c r="D33">
        <v>32</v>
      </c>
      <c r="E33">
        <v>32</v>
      </c>
      <c r="F33">
        <f t="shared" si="3"/>
        <v>528</v>
      </c>
      <c r="G33">
        <f t="shared" si="2"/>
        <v>57722</v>
      </c>
    </row>
    <row r="34" spans="1:7">
      <c r="A34">
        <v>33</v>
      </c>
      <c r="B34">
        <f t="shared" si="0"/>
        <v>2097172</v>
      </c>
      <c r="C34">
        <f t="shared" si="1"/>
        <v>5</v>
      </c>
      <c r="D34">
        <v>33</v>
      </c>
      <c r="E34">
        <v>33</v>
      </c>
      <c r="F34">
        <f t="shared" si="3"/>
        <v>561</v>
      </c>
      <c r="G34">
        <f t="shared" si="2"/>
        <v>63552</v>
      </c>
    </row>
    <row r="35" spans="1:7">
      <c r="A35">
        <v>34</v>
      </c>
      <c r="B35">
        <f t="shared" si="0"/>
        <v>2371862</v>
      </c>
      <c r="C35">
        <f t="shared" si="1"/>
        <v>5</v>
      </c>
      <c r="D35">
        <v>34</v>
      </c>
      <c r="E35">
        <v>34</v>
      </c>
      <c r="F35">
        <f t="shared" si="3"/>
        <v>595</v>
      </c>
      <c r="G35">
        <f t="shared" si="2"/>
        <v>69762</v>
      </c>
    </row>
    <row r="36" spans="1:7">
      <c r="A36">
        <v>35</v>
      </c>
      <c r="B36">
        <f t="shared" si="0"/>
        <v>2672692</v>
      </c>
      <c r="C36">
        <f t="shared" si="1"/>
        <v>5</v>
      </c>
      <c r="D36">
        <v>35</v>
      </c>
      <c r="E36">
        <v>35</v>
      </c>
      <c r="F36">
        <f t="shared" si="3"/>
        <v>630</v>
      </c>
      <c r="G36">
        <f t="shared" si="2"/>
        <v>76364</v>
      </c>
    </row>
    <row r="37" spans="1:7">
      <c r="A37">
        <v>36</v>
      </c>
      <c r="B37">
        <f t="shared" si="0"/>
        <v>3001270</v>
      </c>
      <c r="C37">
        <f t="shared" si="1"/>
        <v>5</v>
      </c>
      <c r="D37">
        <v>36</v>
      </c>
      <c r="E37">
        <v>36</v>
      </c>
      <c r="F37">
        <f t="shared" si="3"/>
        <v>666</v>
      </c>
      <c r="G37">
        <f t="shared" si="2"/>
        <v>83370</v>
      </c>
    </row>
    <row r="38" spans="1:7">
      <c r="A38">
        <v>37</v>
      </c>
      <c r="B38">
        <f t="shared" si="0"/>
        <v>3359252</v>
      </c>
      <c r="C38">
        <f t="shared" si="1"/>
        <v>5</v>
      </c>
      <c r="D38">
        <v>37</v>
      </c>
      <c r="E38">
        <v>37</v>
      </c>
      <c r="F38">
        <f t="shared" si="3"/>
        <v>703</v>
      </c>
      <c r="G38">
        <f t="shared" si="2"/>
        <v>90792</v>
      </c>
    </row>
    <row r="39" spans="1:7">
      <c r="A39">
        <v>38</v>
      </c>
      <c r="B39">
        <f t="shared" si="0"/>
        <v>3748342</v>
      </c>
      <c r="C39">
        <f t="shared" si="1"/>
        <v>5</v>
      </c>
      <c r="D39">
        <v>38</v>
      </c>
      <c r="E39">
        <v>38</v>
      </c>
      <c r="F39">
        <f t="shared" si="3"/>
        <v>741</v>
      </c>
      <c r="G39">
        <f t="shared" si="2"/>
        <v>98642</v>
      </c>
    </row>
    <row r="40" spans="1:7">
      <c r="A40">
        <v>39</v>
      </c>
      <c r="B40">
        <f t="shared" si="0"/>
        <v>4170292</v>
      </c>
      <c r="C40">
        <f t="shared" si="1"/>
        <v>5</v>
      </c>
      <c r="D40">
        <v>39</v>
      </c>
      <c r="E40">
        <v>39</v>
      </c>
      <c r="F40">
        <f t="shared" si="3"/>
        <v>780</v>
      </c>
      <c r="G40">
        <f t="shared" si="2"/>
        <v>106932</v>
      </c>
    </row>
    <row r="41" spans="1:7">
      <c r="A41">
        <v>40</v>
      </c>
      <c r="B41">
        <f t="shared" si="0"/>
        <v>4626902</v>
      </c>
      <c r="C41">
        <f t="shared" si="1"/>
        <v>6</v>
      </c>
      <c r="D41">
        <v>40</v>
      </c>
      <c r="E41">
        <v>40</v>
      </c>
      <c r="F41">
        <f t="shared" si="3"/>
        <v>820</v>
      </c>
      <c r="G41">
        <f t="shared" si="2"/>
        <v>115674</v>
      </c>
    </row>
    <row r="42" spans="1:7">
      <c r="A42">
        <v>41</v>
      </c>
      <c r="B42">
        <f t="shared" si="0"/>
        <v>5120020</v>
      </c>
      <c r="C42">
        <f t="shared" si="1"/>
        <v>6</v>
      </c>
      <c r="D42">
        <v>41</v>
      </c>
      <c r="E42">
        <v>41</v>
      </c>
      <c r="F42">
        <f t="shared" si="3"/>
        <v>861</v>
      </c>
      <c r="G42">
        <f t="shared" si="2"/>
        <v>124880</v>
      </c>
    </row>
    <row r="43" spans="1:7">
      <c r="A43">
        <v>42</v>
      </c>
      <c r="B43">
        <f t="shared" si="0"/>
        <v>5651542</v>
      </c>
      <c r="C43">
        <f t="shared" si="1"/>
        <v>6</v>
      </c>
      <c r="D43">
        <v>42</v>
      </c>
      <c r="E43">
        <v>42</v>
      </c>
      <c r="F43">
        <f t="shared" si="3"/>
        <v>903</v>
      </c>
      <c r="G43">
        <f t="shared" si="2"/>
        <v>134562</v>
      </c>
    </row>
    <row r="44" spans="1:7">
      <c r="A44">
        <v>43</v>
      </c>
      <c r="B44">
        <f t="shared" si="0"/>
        <v>6223412</v>
      </c>
      <c r="C44">
        <f t="shared" si="1"/>
        <v>6</v>
      </c>
      <c r="D44">
        <v>43</v>
      </c>
      <c r="E44">
        <v>43</v>
      </c>
      <c r="F44">
        <f t="shared" si="3"/>
        <v>946</v>
      </c>
      <c r="G44">
        <f t="shared" si="2"/>
        <v>144732</v>
      </c>
    </row>
    <row r="45" spans="1:7">
      <c r="A45">
        <v>44</v>
      </c>
      <c r="B45">
        <f t="shared" si="0"/>
        <v>6837622</v>
      </c>
      <c r="C45">
        <f t="shared" si="1"/>
        <v>6</v>
      </c>
      <c r="D45">
        <v>44</v>
      </c>
      <c r="E45">
        <v>44</v>
      </c>
      <c r="F45">
        <f t="shared" si="3"/>
        <v>990</v>
      </c>
      <c r="G45">
        <f t="shared" si="2"/>
        <v>155402</v>
      </c>
    </row>
    <row r="46" spans="1:7">
      <c r="A46">
        <v>45</v>
      </c>
      <c r="B46">
        <f t="shared" si="0"/>
        <v>7496212</v>
      </c>
      <c r="C46">
        <f t="shared" si="1"/>
        <v>6</v>
      </c>
      <c r="D46">
        <v>45</v>
      </c>
      <c r="E46">
        <v>45</v>
      </c>
      <c r="F46">
        <f t="shared" si="3"/>
        <v>1035</v>
      </c>
      <c r="G46">
        <f t="shared" si="2"/>
        <v>166584</v>
      </c>
    </row>
    <row r="47" spans="1:7">
      <c r="A47">
        <v>46</v>
      </c>
      <c r="B47">
        <f t="shared" si="0"/>
        <v>8201270</v>
      </c>
      <c r="C47">
        <f t="shared" si="1"/>
        <v>6</v>
      </c>
      <c r="D47">
        <v>46</v>
      </c>
      <c r="E47">
        <v>46</v>
      </c>
      <c r="F47">
        <f t="shared" si="3"/>
        <v>1081</v>
      </c>
      <c r="G47">
        <f t="shared" si="2"/>
        <v>178290</v>
      </c>
    </row>
    <row r="48" spans="1:7">
      <c r="A48">
        <v>47</v>
      </c>
      <c r="B48">
        <f t="shared" si="0"/>
        <v>8954932</v>
      </c>
      <c r="C48">
        <f t="shared" si="1"/>
        <v>6</v>
      </c>
      <c r="D48">
        <v>47</v>
      </c>
      <c r="E48">
        <v>47</v>
      </c>
      <c r="F48">
        <f t="shared" si="3"/>
        <v>1128</v>
      </c>
      <c r="G48">
        <f t="shared" si="2"/>
        <v>190532</v>
      </c>
    </row>
    <row r="49" spans="1:7">
      <c r="A49">
        <v>48</v>
      </c>
      <c r="B49">
        <f t="shared" si="0"/>
        <v>9759382</v>
      </c>
      <c r="C49">
        <f t="shared" si="1"/>
        <v>6</v>
      </c>
      <c r="D49">
        <v>48</v>
      </c>
      <c r="E49">
        <v>48</v>
      </c>
      <c r="F49">
        <f t="shared" si="3"/>
        <v>1176</v>
      </c>
      <c r="G49">
        <f t="shared" si="2"/>
        <v>203322</v>
      </c>
    </row>
    <row r="50" spans="1:7">
      <c r="A50">
        <v>49</v>
      </c>
      <c r="B50">
        <f t="shared" si="0"/>
        <v>10616852</v>
      </c>
      <c r="C50">
        <f t="shared" si="1"/>
        <v>6</v>
      </c>
      <c r="D50">
        <v>49</v>
      </c>
      <c r="E50">
        <v>49</v>
      </c>
      <c r="F50">
        <f t="shared" si="3"/>
        <v>1225</v>
      </c>
      <c r="G50">
        <f t="shared" si="2"/>
        <v>216672</v>
      </c>
    </row>
    <row r="51" spans="1:7">
      <c r="A51">
        <v>50</v>
      </c>
      <c r="B51">
        <f t="shared" si="0"/>
        <v>11529622</v>
      </c>
      <c r="C51">
        <f t="shared" si="1"/>
        <v>7</v>
      </c>
      <c r="D51">
        <v>50</v>
      </c>
      <c r="E51">
        <v>50</v>
      </c>
      <c r="F51">
        <f t="shared" si="3"/>
        <v>1275</v>
      </c>
      <c r="G51">
        <f t="shared" si="2"/>
        <v>230594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O33"/>
  <sheetViews>
    <sheetView workbookViewId="0">
      <selection activeCell="A22" sqref="A22:XFD22"/>
    </sheetView>
  </sheetViews>
  <sheetFormatPr defaultRowHeight="13.5"/>
  <cols>
    <col min="1" max="1" width="18.25" customWidth="1"/>
    <col min="2" max="2" width="12.625" customWidth="1"/>
  </cols>
  <sheetData>
    <row r="1" spans="1:15" s="35" customFormat="1">
      <c r="A1" s="30" t="s">
        <v>103</v>
      </c>
      <c r="B1" s="30" t="s">
        <v>104</v>
      </c>
      <c r="C1" s="30" t="s">
        <v>105</v>
      </c>
      <c r="D1" s="30" t="s">
        <v>9</v>
      </c>
      <c r="E1" s="30" t="s">
        <v>11</v>
      </c>
      <c r="F1" s="30" t="s">
        <v>13</v>
      </c>
      <c r="G1" s="30" t="s">
        <v>15</v>
      </c>
      <c r="H1" s="31" t="s">
        <v>19</v>
      </c>
      <c r="I1" s="31" t="s">
        <v>20</v>
      </c>
      <c r="J1" s="31" t="s">
        <v>21</v>
      </c>
      <c r="K1" s="31" t="s">
        <v>22</v>
      </c>
      <c r="L1" s="31" t="s">
        <v>23</v>
      </c>
      <c r="M1" s="31" t="s">
        <v>24</v>
      </c>
      <c r="N1" s="31" t="s">
        <v>25</v>
      </c>
      <c r="O1" s="31" t="s">
        <v>26</v>
      </c>
    </row>
    <row r="32" spans="1:15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</row>
    <row r="33" spans="1:15">
      <c r="A33" t="s">
        <v>118</v>
      </c>
      <c r="B33" t="s">
        <v>118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P101"/>
  <sheetViews>
    <sheetView workbookViewId="0">
      <pane xSplit="1" ySplit="1" topLeftCell="B14" activePane="bottomRight" state="frozen"/>
      <selection pane="topRight" activeCell="B1" sqref="B1"/>
      <selection pane="bottomLeft" activeCell="A2" sqref="A2"/>
      <selection pane="bottomRight" activeCell="A31" sqref="A31:XFD31"/>
    </sheetView>
  </sheetViews>
  <sheetFormatPr defaultRowHeight="13.5"/>
  <cols>
    <col min="1" max="14" width="9" style="57"/>
    <col min="15" max="15" width="9.625" style="57" customWidth="1"/>
    <col min="16" max="16384" width="9" style="57"/>
  </cols>
  <sheetData>
    <row r="1" spans="1:16">
      <c r="A1" s="58" t="s">
        <v>1</v>
      </c>
      <c r="B1" s="59" t="s">
        <v>138</v>
      </c>
      <c r="C1" s="31" t="s">
        <v>139</v>
      </c>
      <c r="D1" s="31" t="s">
        <v>140</v>
      </c>
      <c r="E1" s="31" t="s">
        <v>141</v>
      </c>
      <c r="F1" s="31" t="s">
        <v>142</v>
      </c>
      <c r="G1" s="31" t="s">
        <v>143</v>
      </c>
      <c r="H1" s="31" t="s">
        <v>144</v>
      </c>
      <c r="I1" s="31" t="s">
        <v>145</v>
      </c>
      <c r="J1" s="31" t="s">
        <v>146</v>
      </c>
      <c r="K1" s="31" t="s">
        <v>147</v>
      </c>
      <c r="L1" s="31" t="s">
        <v>148</v>
      </c>
      <c r="M1" s="31" t="s">
        <v>149</v>
      </c>
      <c r="N1" s="31" t="s">
        <v>150</v>
      </c>
    </row>
    <row r="2" spans="1:16">
      <c r="A2" s="57" t="s">
        <v>152</v>
      </c>
      <c r="B2" s="57">
        <v>1</v>
      </c>
      <c r="C2" s="57">
        <v>10</v>
      </c>
      <c r="D2" s="57">
        <v>10</v>
      </c>
      <c r="E2" s="57">
        <v>10</v>
      </c>
      <c r="F2" s="57">
        <v>10</v>
      </c>
      <c r="G2" s="57">
        <v>50</v>
      </c>
      <c r="H2" s="57">
        <v>20</v>
      </c>
      <c r="I2" s="57">
        <v>10</v>
      </c>
      <c r="J2" s="60">
        <v>20</v>
      </c>
      <c r="K2" s="57">
        <v>10</v>
      </c>
      <c r="L2" s="57">
        <v>100</v>
      </c>
      <c r="M2" s="57">
        <v>20</v>
      </c>
      <c r="N2" s="57">
        <v>10</v>
      </c>
      <c r="O2" s="57">
        <f>G2/(H2-I2)</f>
        <v>5</v>
      </c>
      <c r="P2" s="57">
        <f>G2/(J2-K2)</f>
        <v>5</v>
      </c>
    </row>
    <row r="3" spans="1:16">
      <c r="A3" s="57" t="s">
        <v>152</v>
      </c>
      <c r="B3" s="57">
        <v>2</v>
      </c>
      <c r="C3" s="57">
        <v>12</v>
      </c>
      <c r="D3" s="57">
        <v>12</v>
      </c>
      <c r="E3" s="57">
        <v>12</v>
      </c>
      <c r="F3" s="57">
        <v>12</v>
      </c>
      <c r="G3" s="57">
        <v>60</v>
      </c>
      <c r="H3" s="57">
        <v>24</v>
      </c>
      <c r="I3" s="57">
        <v>12</v>
      </c>
      <c r="J3" s="57">
        <v>24</v>
      </c>
      <c r="K3" s="57">
        <v>12</v>
      </c>
      <c r="L3" s="57">
        <v>120</v>
      </c>
      <c r="M3" s="57">
        <v>24</v>
      </c>
      <c r="N3" s="57">
        <v>12</v>
      </c>
      <c r="O3" s="57">
        <f t="shared" ref="O3:O66" si="0">G3/(H3-I3)</f>
        <v>5</v>
      </c>
      <c r="P3" s="57">
        <f t="shared" ref="P3:P66" si="1">G3/(J3-K3)</f>
        <v>5</v>
      </c>
    </row>
    <row r="4" spans="1:16">
      <c r="A4" s="57" t="s">
        <v>152</v>
      </c>
      <c r="B4" s="57">
        <v>3</v>
      </c>
      <c r="C4" s="57">
        <v>14</v>
      </c>
      <c r="D4" s="57">
        <v>14</v>
      </c>
      <c r="E4" s="57">
        <v>14</v>
      </c>
      <c r="F4" s="57">
        <v>14</v>
      </c>
      <c r="G4" s="57">
        <v>70</v>
      </c>
      <c r="H4" s="57">
        <v>28</v>
      </c>
      <c r="I4" s="57">
        <v>14</v>
      </c>
      <c r="J4" s="60">
        <v>28</v>
      </c>
      <c r="K4" s="29">
        <v>14</v>
      </c>
      <c r="L4" s="29">
        <v>140</v>
      </c>
      <c r="M4" s="29">
        <v>28</v>
      </c>
      <c r="N4" s="57">
        <v>14</v>
      </c>
      <c r="O4" s="57">
        <f t="shared" si="0"/>
        <v>5</v>
      </c>
      <c r="P4" s="57">
        <f t="shared" si="1"/>
        <v>5</v>
      </c>
    </row>
    <row r="5" spans="1:16">
      <c r="A5" s="57" t="s">
        <v>152</v>
      </c>
      <c r="B5" s="57">
        <v>4</v>
      </c>
      <c r="C5" s="57">
        <v>16</v>
      </c>
      <c r="D5" s="57">
        <v>16</v>
      </c>
      <c r="E5" s="57">
        <v>16</v>
      </c>
      <c r="F5" s="57">
        <v>16</v>
      </c>
      <c r="G5" s="57">
        <v>80</v>
      </c>
      <c r="H5" s="57">
        <v>32</v>
      </c>
      <c r="I5" s="57">
        <v>16</v>
      </c>
      <c r="J5" s="57">
        <v>32</v>
      </c>
      <c r="K5" s="57">
        <v>16</v>
      </c>
      <c r="L5" s="57">
        <v>160</v>
      </c>
      <c r="M5" s="57">
        <v>32</v>
      </c>
      <c r="N5" s="57">
        <v>16</v>
      </c>
      <c r="O5" s="57">
        <f t="shared" si="0"/>
        <v>5</v>
      </c>
      <c r="P5" s="57">
        <f t="shared" si="1"/>
        <v>5</v>
      </c>
    </row>
    <row r="6" spans="1:16" s="61" customFormat="1">
      <c r="A6" s="61" t="s">
        <v>152</v>
      </c>
      <c r="B6" s="61">
        <v>5</v>
      </c>
      <c r="C6" s="61">
        <v>18</v>
      </c>
      <c r="D6" s="61">
        <v>18</v>
      </c>
      <c r="E6" s="61">
        <v>18</v>
      </c>
      <c r="F6" s="61">
        <v>18</v>
      </c>
      <c r="G6" s="61">
        <v>90</v>
      </c>
      <c r="H6" s="61">
        <v>36</v>
      </c>
      <c r="I6" s="61">
        <v>18</v>
      </c>
      <c r="J6" s="61">
        <v>36</v>
      </c>
      <c r="K6" s="61">
        <v>18</v>
      </c>
      <c r="L6" s="61">
        <v>180</v>
      </c>
      <c r="M6" s="61">
        <v>36</v>
      </c>
      <c r="N6" s="61">
        <v>18</v>
      </c>
      <c r="O6" s="61">
        <f t="shared" si="0"/>
        <v>5</v>
      </c>
      <c r="P6" s="61">
        <f t="shared" si="1"/>
        <v>5</v>
      </c>
    </row>
    <row r="7" spans="1:16">
      <c r="A7" s="57" t="s">
        <v>152</v>
      </c>
      <c r="B7" s="57">
        <v>6</v>
      </c>
      <c r="C7" s="57">
        <v>20</v>
      </c>
      <c r="D7" s="57">
        <v>20</v>
      </c>
      <c r="E7" s="57">
        <v>20</v>
      </c>
      <c r="F7" s="57">
        <v>20</v>
      </c>
      <c r="G7" s="57">
        <v>100</v>
      </c>
      <c r="H7" s="57">
        <v>40</v>
      </c>
      <c r="I7" s="57">
        <v>20</v>
      </c>
      <c r="J7" s="57">
        <v>40</v>
      </c>
      <c r="K7" s="57">
        <v>20</v>
      </c>
      <c r="L7" s="57">
        <v>200</v>
      </c>
      <c r="M7" s="57">
        <v>40</v>
      </c>
      <c r="N7" s="57">
        <v>20</v>
      </c>
      <c r="O7" s="57">
        <f t="shared" si="0"/>
        <v>5</v>
      </c>
      <c r="P7" s="57">
        <f t="shared" si="1"/>
        <v>5</v>
      </c>
    </row>
    <row r="8" spans="1:16">
      <c r="A8" s="57" t="s">
        <v>152</v>
      </c>
      <c r="B8" s="57">
        <v>7</v>
      </c>
      <c r="C8" s="57">
        <v>22</v>
      </c>
      <c r="D8" s="57">
        <v>22</v>
      </c>
      <c r="E8" s="57">
        <v>22</v>
      </c>
      <c r="F8" s="57">
        <v>22</v>
      </c>
      <c r="G8" s="57">
        <v>110</v>
      </c>
      <c r="H8" s="57">
        <v>44</v>
      </c>
      <c r="I8" s="57">
        <v>22</v>
      </c>
      <c r="J8" s="57">
        <v>44</v>
      </c>
      <c r="K8" s="57">
        <v>22</v>
      </c>
      <c r="L8" s="57">
        <v>220</v>
      </c>
      <c r="M8" s="57">
        <v>44</v>
      </c>
      <c r="N8" s="57">
        <v>22</v>
      </c>
      <c r="O8" s="57">
        <f t="shared" si="0"/>
        <v>5</v>
      </c>
      <c r="P8" s="57">
        <f t="shared" si="1"/>
        <v>5</v>
      </c>
    </row>
    <row r="9" spans="1:16">
      <c r="A9" s="57" t="s">
        <v>152</v>
      </c>
      <c r="B9" s="57">
        <v>8</v>
      </c>
      <c r="C9" s="57">
        <v>24</v>
      </c>
      <c r="D9" s="57">
        <v>24</v>
      </c>
      <c r="E9" s="57">
        <v>24</v>
      </c>
      <c r="F9" s="57">
        <v>24</v>
      </c>
      <c r="G9" s="57">
        <v>120</v>
      </c>
      <c r="H9" s="57">
        <v>48</v>
      </c>
      <c r="I9" s="57">
        <v>24</v>
      </c>
      <c r="J9" s="57">
        <v>48</v>
      </c>
      <c r="K9" s="57">
        <v>24</v>
      </c>
      <c r="L9" s="57">
        <v>240</v>
      </c>
      <c r="M9" s="57">
        <v>48</v>
      </c>
      <c r="N9" s="57">
        <v>24</v>
      </c>
      <c r="O9" s="57">
        <f t="shared" si="0"/>
        <v>5</v>
      </c>
      <c r="P9" s="57">
        <f t="shared" si="1"/>
        <v>5</v>
      </c>
    </row>
    <row r="10" spans="1:16">
      <c r="A10" s="57" t="s">
        <v>152</v>
      </c>
      <c r="B10" s="57">
        <v>9</v>
      </c>
      <c r="C10" s="57">
        <v>26</v>
      </c>
      <c r="D10" s="57">
        <v>26</v>
      </c>
      <c r="E10" s="57">
        <v>26</v>
      </c>
      <c r="F10" s="57">
        <v>26</v>
      </c>
      <c r="G10" s="57">
        <v>130</v>
      </c>
      <c r="H10" s="57">
        <v>52</v>
      </c>
      <c r="I10" s="57">
        <v>26</v>
      </c>
      <c r="J10" s="57">
        <v>52</v>
      </c>
      <c r="K10" s="57">
        <v>26</v>
      </c>
      <c r="L10" s="57">
        <v>260</v>
      </c>
      <c r="M10" s="57">
        <v>52</v>
      </c>
      <c r="N10" s="57">
        <v>26</v>
      </c>
      <c r="O10" s="57">
        <f t="shared" si="0"/>
        <v>5</v>
      </c>
      <c r="P10" s="57">
        <f t="shared" si="1"/>
        <v>5</v>
      </c>
    </row>
    <row r="11" spans="1:16">
      <c r="A11" s="57" t="s">
        <v>152</v>
      </c>
      <c r="B11" s="57">
        <v>10</v>
      </c>
      <c r="C11" s="57">
        <v>28</v>
      </c>
      <c r="D11" s="57">
        <v>28</v>
      </c>
      <c r="E11" s="57">
        <v>28</v>
      </c>
      <c r="F11" s="57">
        <v>28</v>
      </c>
      <c r="G11" s="57">
        <v>140</v>
      </c>
      <c r="H11" s="57">
        <v>56</v>
      </c>
      <c r="I11" s="57">
        <v>28</v>
      </c>
      <c r="J11" s="57">
        <v>56</v>
      </c>
      <c r="K11" s="57">
        <v>28</v>
      </c>
      <c r="L11" s="57">
        <v>280</v>
      </c>
      <c r="M11" s="57">
        <v>56</v>
      </c>
      <c r="N11" s="57">
        <v>28</v>
      </c>
      <c r="O11" s="57">
        <f t="shared" si="0"/>
        <v>5</v>
      </c>
      <c r="P11" s="57">
        <f t="shared" si="1"/>
        <v>5</v>
      </c>
    </row>
    <row r="12" spans="1:16">
      <c r="A12" s="57" t="s">
        <v>152</v>
      </c>
      <c r="B12" s="57">
        <v>11</v>
      </c>
      <c r="C12" s="57">
        <v>30</v>
      </c>
      <c r="D12" s="57">
        <v>30</v>
      </c>
      <c r="E12" s="57">
        <v>30</v>
      </c>
      <c r="F12" s="57">
        <v>30</v>
      </c>
      <c r="G12" s="57">
        <v>150</v>
      </c>
      <c r="H12" s="57">
        <v>60</v>
      </c>
      <c r="I12" s="57">
        <v>30</v>
      </c>
      <c r="J12" s="57">
        <v>60</v>
      </c>
      <c r="K12" s="57">
        <v>30</v>
      </c>
      <c r="L12" s="57">
        <v>300</v>
      </c>
      <c r="M12" s="57">
        <v>60</v>
      </c>
      <c r="N12" s="57">
        <v>30</v>
      </c>
      <c r="O12" s="57">
        <f t="shared" si="0"/>
        <v>5</v>
      </c>
      <c r="P12" s="57">
        <f t="shared" si="1"/>
        <v>5</v>
      </c>
    </row>
    <row r="13" spans="1:16">
      <c r="A13" s="57" t="s">
        <v>152</v>
      </c>
      <c r="B13" s="57">
        <v>12</v>
      </c>
      <c r="C13" s="57">
        <v>32</v>
      </c>
      <c r="D13" s="57">
        <v>32</v>
      </c>
      <c r="E13" s="57">
        <v>32</v>
      </c>
      <c r="F13" s="57">
        <v>32</v>
      </c>
      <c r="G13" s="57">
        <v>160</v>
      </c>
      <c r="H13" s="57">
        <v>64</v>
      </c>
      <c r="I13" s="57">
        <v>32</v>
      </c>
      <c r="J13" s="57">
        <v>64</v>
      </c>
      <c r="K13" s="57">
        <v>32</v>
      </c>
      <c r="L13" s="57">
        <v>320</v>
      </c>
      <c r="M13" s="57">
        <v>64</v>
      </c>
      <c r="N13" s="57">
        <v>32</v>
      </c>
      <c r="O13" s="57">
        <f t="shared" si="0"/>
        <v>5</v>
      </c>
      <c r="P13" s="57">
        <f t="shared" si="1"/>
        <v>5</v>
      </c>
    </row>
    <row r="14" spans="1:16">
      <c r="A14" s="57" t="s">
        <v>152</v>
      </c>
      <c r="B14" s="57">
        <v>13</v>
      </c>
      <c r="C14" s="57">
        <v>34</v>
      </c>
      <c r="D14" s="57">
        <v>34</v>
      </c>
      <c r="E14" s="57">
        <v>34</v>
      </c>
      <c r="F14" s="57">
        <v>34</v>
      </c>
      <c r="G14" s="57">
        <v>170</v>
      </c>
      <c r="H14" s="57">
        <v>68</v>
      </c>
      <c r="I14" s="57">
        <v>34</v>
      </c>
      <c r="J14" s="57">
        <v>68</v>
      </c>
      <c r="K14" s="57">
        <v>34</v>
      </c>
      <c r="L14" s="57">
        <v>340</v>
      </c>
      <c r="M14" s="57">
        <v>68</v>
      </c>
      <c r="N14" s="57">
        <v>34</v>
      </c>
      <c r="O14" s="57">
        <f t="shared" si="0"/>
        <v>5</v>
      </c>
      <c r="P14" s="57">
        <f t="shared" si="1"/>
        <v>5</v>
      </c>
    </row>
    <row r="15" spans="1:16">
      <c r="A15" s="57" t="s">
        <v>152</v>
      </c>
      <c r="B15" s="57">
        <v>14</v>
      </c>
      <c r="C15" s="57">
        <v>36</v>
      </c>
      <c r="D15" s="57">
        <v>36</v>
      </c>
      <c r="E15" s="57">
        <v>36</v>
      </c>
      <c r="F15" s="57">
        <v>36</v>
      </c>
      <c r="G15" s="57">
        <v>180</v>
      </c>
      <c r="H15" s="57">
        <v>72</v>
      </c>
      <c r="I15" s="57">
        <v>36</v>
      </c>
      <c r="J15" s="57">
        <v>72</v>
      </c>
      <c r="K15" s="57">
        <v>36</v>
      </c>
      <c r="L15" s="57">
        <v>360</v>
      </c>
      <c r="M15" s="57">
        <v>72</v>
      </c>
      <c r="N15" s="57">
        <v>36</v>
      </c>
      <c r="O15" s="57">
        <f t="shared" si="0"/>
        <v>5</v>
      </c>
      <c r="P15" s="57">
        <f t="shared" si="1"/>
        <v>5</v>
      </c>
    </row>
    <row r="16" spans="1:16" s="61" customFormat="1">
      <c r="A16" s="61" t="s">
        <v>152</v>
      </c>
      <c r="B16" s="61">
        <v>15</v>
      </c>
      <c r="C16" s="61">
        <v>38</v>
      </c>
      <c r="D16" s="61">
        <v>38</v>
      </c>
      <c r="E16" s="61">
        <v>38</v>
      </c>
      <c r="F16" s="61">
        <v>38</v>
      </c>
      <c r="G16" s="61">
        <v>190</v>
      </c>
      <c r="H16" s="61">
        <v>76</v>
      </c>
      <c r="I16" s="61">
        <v>38</v>
      </c>
      <c r="J16" s="61">
        <v>76</v>
      </c>
      <c r="K16" s="61">
        <v>38</v>
      </c>
      <c r="L16" s="61">
        <v>380</v>
      </c>
      <c r="M16" s="61">
        <v>76</v>
      </c>
      <c r="N16" s="61">
        <v>38</v>
      </c>
      <c r="O16" s="61">
        <f t="shared" si="0"/>
        <v>5</v>
      </c>
      <c r="P16" s="61">
        <f t="shared" si="1"/>
        <v>5</v>
      </c>
    </row>
    <row r="17" spans="1:16">
      <c r="A17" s="57" t="s">
        <v>152</v>
      </c>
      <c r="B17" s="57">
        <v>16</v>
      </c>
      <c r="C17" s="57">
        <v>40</v>
      </c>
      <c r="D17" s="57">
        <v>40</v>
      </c>
      <c r="E17" s="57">
        <v>40</v>
      </c>
      <c r="F17" s="57">
        <v>40</v>
      </c>
      <c r="G17" s="57">
        <v>200</v>
      </c>
      <c r="H17" s="57">
        <v>80</v>
      </c>
      <c r="I17" s="57">
        <v>40</v>
      </c>
      <c r="J17" s="57">
        <v>80</v>
      </c>
      <c r="K17" s="57">
        <v>40</v>
      </c>
      <c r="L17" s="57">
        <v>400</v>
      </c>
      <c r="M17" s="57">
        <v>80</v>
      </c>
      <c r="N17" s="57">
        <v>40</v>
      </c>
      <c r="O17" s="57">
        <f t="shared" si="0"/>
        <v>5</v>
      </c>
      <c r="P17" s="57">
        <f t="shared" si="1"/>
        <v>5</v>
      </c>
    </row>
    <row r="18" spans="1:16">
      <c r="A18" s="57" t="s">
        <v>152</v>
      </c>
      <c r="B18" s="57">
        <v>17</v>
      </c>
      <c r="C18" s="57">
        <v>42</v>
      </c>
      <c r="D18" s="57">
        <v>42</v>
      </c>
      <c r="E18" s="57">
        <v>42</v>
      </c>
      <c r="F18" s="57">
        <v>42</v>
      </c>
      <c r="G18" s="57">
        <v>210</v>
      </c>
      <c r="H18" s="57">
        <v>84</v>
      </c>
      <c r="I18" s="57">
        <v>42</v>
      </c>
      <c r="J18" s="57">
        <v>84</v>
      </c>
      <c r="K18" s="57">
        <v>42</v>
      </c>
      <c r="L18" s="57">
        <v>420</v>
      </c>
      <c r="M18" s="57">
        <v>84</v>
      </c>
      <c r="N18" s="57">
        <v>42</v>
      </c>
      <c r="O18" s="57">
        <f t="shared" si="0"/>
        <v>5</v>
      </c>
      <c r="P18" s="57">
        <f t="shared" si="1"/>
        <v>5</v>
      </c>
    </row>
    <row r="19" spans="1:16">
      <c r="A19" s="57" t="s">
        <v>152</v>
      </c>
      <c r="B19" s="57">
        <v>18</v>
      </c>
      <c r="C19" s="57">
        <v>44</v>
      </c>
      <c r="D19" s="57">
        <v>44</v>
      </c>
      <c r="E19" s="57">
        <v>44</v>
      </c>
      <c r="F19" s="57">
        <v>44</v>
      </c>
      <c r="G19" s="57">
        <v>220</v>
      </c>
      <c r="H19" s="57">
        <v>88</v>
      </c>
      <c r="I19" s="57">
        <v>44</v>
      </c>
      <c r="J19" s="57">
        <v>88</v>
      </c>
      <c r="K19" s="57">
        <v>44</v>
      </c>
      <c r="L19" s="57">
        <v>440</v>
      </c>
      <c r="M19" s="57">
        <v>88</v>
      </c>
      <c r="N19" s="57">
        <v>44</v>
      </c>
      <c r="O19" s="57">
        <f t="shared" si="0"/>
        <v>5</v>
      </c>
      <c r="P19" s="57">
        <f t="shared" si="1"/>
        <v>5</v>
      </c>
    </row>
    <row r="20" spans="1:16">
      <c r="A20" s="57" t="s">
        <v>152</v>
      </c>
      <c r="B20" s="57">
        <v>19</v>
      </c>
      <c r="C20" s="57">
        <v>46</v>
      </c>
      <c r="D20" s="57">
        <v>46</v>
      </c>
      <c r="E20" s="57">
        <v>46</v>
      </c>
      <c r="F20" s="57">
        <v>46</v>
      </c>
      <c r="G20" s="57">
        <v>230</v>
      </c>
      <c r="H20" s="57">
        <v>92</v>
      </c>
      <c r="I20" s="57">
        <v>46</v>
      </c>
      <c r="J20" s="57">
        <v>92</v>
      </c>
      <c r="K20" s="57">
        <v>46</v>
      </c>
      <c r="L20" s="57">
        <v>460</v>
      </c>
      <c r="M20" s="57">
        <v>92</v>
      </c>
      <c r="N20" s="57">
        <v>46</v>
      </c>
      <c r="O20" s="57">
        <f t="shared" si="0"/>
        <v>5</v>
      </c>
      <c r="P20" s="57">
        <f t="shared" si="1"/>
        <v>5</v>
      </c>
    </row>
    <row r="21" spans="1:16">
      <c r="A21" s="57" t="s">
        <v>152</v>
      </c>
      <c r="B21" s="57">
        <v>20</v>
      </c>
      <c r="C21" s="57">
        <v>48</v>
      </c>
      <c r="D21" s="57">
        <v>48</v>
      </c>
      <c r="E21" s="57">
        <v>48</v>
      </c>
      <c r="F21" s="57">
        <v>48</v>
      </c>
      <c r="G21" s="57">
        <v>240</v>
      </c>
      <c r="H21" s="57">
        <v>96</v>
      </c>
      <c r="I21" s="57">
        <v>48</v>
      </c>
      <c r="J21" s="57">
        <v>96</v>
      </c>
      <c r="K21" s="57">
        <v>48</v>
      </c>
      <c r="L21" s="57">
        <v>480</v>
      </c>
      <c r="M21" s="57">
        <v>96</v>
      </c>
      <c r="N21" s="57">
        <v>48</v>
      </c>
      <c r="O21" s="57">
        <f t="shared" si="0"/>
        <v>5</v>
      </c>
      <c r="P21" s="57">
        <f t="shared" si="1"/>
        <v>5</v>
      </c>
    </row>
    <row r="22" spans="1:16">
      <c r="A22" s="57" t="s">
        <v>152</v>
      </c>
      <c r="B22" s="57">
        <v>21</v>
      </c>
      <c r="C22" s="57">
        <v>50</v>
      </c>
      <c r="D22" s="57">
        <v>50</v>
      </c>
      <c r="E22" s="57">
        <v>50</v>
      </c>
      <c r="F22" s="57">
        <v>50</v>
      </c>
      <c r="G22" s="57">
        <v>250</v>
      </c>
      <c r="H22" s="57">
        <v>100</v>
      </c>
      <c r="I22" s="57">
        <v>50</v>
      </c>
      <c r="J22" s="57">
        <v>100</v>
      </c>
      <c r="K22" s="57">
        <v>50</v>
      </c>
      <c r="L22" s="57">
        <v>500</v>
      </c>
      <c r="M22" s="57">
        <v>100</v>
      </c>
      <c r="N22" s="57">
        <v>50</v>
      </c>
      <c r="O22" s="57">
        <f t="shared" si="0"/>
        <v>5</v>
      </c>
      <c r="P22" s="57">
        <f t="shared" si="1"/>
        <v>5</v>
      </c>
    </row>
    <row r="23" spans="1:16">
      <c r="A23" s="57" t="s">
        <v>152</v>
      </c>
      <c r="B23" s="57">
        <v>22</v>
      </c>
      <c r="C23" s="57">
        <v>52</v>
      </c>
      <c r="D23" s="57">
        <v>52</v>
      </c>
      <c r="E23" s="57">
        <v>52</v>
      </c>
      <c r="F23" s="57">
        <v>52</v>
      </c>
      <c r="G23" s="57">
        <v>260</v>
      </c>
      <c r="H23" s="57">
        <v>104</v>
      </c>
      <c r="I23" s="57">
        <v>52</v>
      </c>
      <c r="J23" s="57">
        <v>104</v>
      </c>
      <c r="K23" s="57">
        <v>52</v>
      </c>
      <c r="L23" s="57">
        <v>520</v>
      </c>
      <c r="M23" s="57">
        <v>104</v>
      </c>
      <c r="N23" s="57">
        <v>52</v>
      </c>
      <c r="O23" s="57">
        <f t="shared" si="0"/>
        <v>5</v>
      </c>
      <c r="P23" s="57">
        <f t="shared" si="1"/>
        <v>5</v>
      </c>
    </row>
    <row r="24" spans="1:16">
      <c r="A24" s="57" t="s">
        <v>152</v>
      </c>
      <c r="B24" s="57">
        <v>23</v>
      </c>
      <c r="C24" s="57">
        <v>54</v>
      </c>
      <c r="D24" s="57">
        <v>54</v>
      </c>
      <c r="E24" s="57">
        <v>54</v>
      </c>
      <c r="F24" s="57">
        <v>54</v>
      </c>
      <c r="G24" s="57">
        <v>270</v>
      </c>
      <c r="H24" s="57">
        <v>108</v>
      </c>
      <c r="I24" s="57">
        <v>54</v>
      </c>
      <c r="J24" s="57">
        <v>108</v>
      </c>
      <c r="K24" s="57">
        <v>54</v>
      </c>
      <c r="L24" s="57">
        <v>540</v>
      </c>
      <c r="M24" s="57">
        <v>108</v>
      </c>
      <c r="N24" s="57">
        <v>54</v>
      </c>
      <c r="O24" s="57">
        <f t="shared" si="0"/>
        <v>5</v>
      </c>
      <c r="P24" s="57">
        <f t="shared" si="1"/>
        <v>5</v>
      </c>
    </row>
    <row r="25" spans="1:16">
      <c r="A25" s="57" t="s">
        <v>152</v>
      </c>
      <c r="B25" s="57">
        <v>24</v>
      </c>
      <c r="C25" s="57">
        <v>56</v>
      </c>
      <c r="D25" s="57">
        <v>56</v>
      </c>
      <c r="E25" s="57">
        <v>56</v>
      </c>
      <c r="F25" s="57">
        <v>56</v>
      </c>
      <c r="G25" s="57">
        <v>280</v>
      </c>
      <c r="H25" s="57">
        <v>112</v>
      </c>
      <c r="I25" s="57">
        <v>56</v>
      </c>
      <c r="J25" s="57">
        <v>112</v>
      </c>
      <c r="K25" s="57">
        <v>56</v>
      </c>
      <c r="L25" s="57">
        <v>560</v>
      </c>
      <c r="M25" s="57">
        <v>112</v>
      </c>
      <c r="N25" s="57">
        <v>56</v>
      </c>
      <c r="O25" s="57">
        <f t="shared" si="0"/>
        <v>5</v>
      </c>
      <c r="P25" s="57">
        <f t="shared" si="1"/>
        <v>5</v>
      </c>
    </row>
    <row r="26" spans="1:16" s="61" customFormat="1">
      <c r="A26" s="61" t="s">
        <v>152</v>
      </c>
      <c r="B26" s="61">
        <v>25</v>
      </c>
      <c r="C26" s="61">
        <v>58</v>
      </c>
      <c r="D26" s="61">
        <v>58</v>
      </c>
      <c r="E26" s="61">
        <v>58</v>
      </c>
      <c r="F26" s="61">
        <v>58</v>
      </c>
      <c r="G26" s="61">
        <v>290</v>
      </c>
      <c r="H26" s="61">
        <v>116</v>
      </c>
      <c r="I26" s="61">
        <v>58</v>
      </c>
      <c r="J26" s="61">
        <v>116</v>
      </c>
      <c r="K26" s="61">
        <v>58</v>
      </c>
      <c r="L26" s="61">
        <v>580</v>
      </c>
      <c r="M26" s="61">
        <v>116</v>
      </c>
      <c r="N26" s="61">
        <v>58</v>
      </c>
      <c r="O26" s="61">
        <f t="shared" si="0"/>
        <v>5</v>
      </c>
      <c r="P26" s="61">
        <f t="shared" si="1"/>
        <v>5</v>
      </c>
    </row>
    <row r="27" spans="1:16">
      <c r="A27" s="57" t="s">
        <v>152</v>
      </c>
      <c r="B27" s="57">
        <v>26</v>
      </c>
      <c r="C27" s="57">
        <v>60</v>
      </c>
      <c r="D27" s="57">
        <v>60</v>
      </c>
      <c r="E27" s="57">
        <v>60</v>
      </c>
      <c r="F27" s="57">
        <v>60</v>
      </c>
      <c r="G27" s="57">
        <v>300</v>
      </c>
      <c r="H27" s="57">
        <v>120</v>
      </c>
      <c r="I27" s="57">
        <v>60</v>
      </c>
      <c r="J27" s="57">
        <v>120</v>
      </c>
      <c r="K27" s="57">
        <v>60</v>
      </c>
      <c r="L27" s="57">
        <v>600</v>
      </c>
      <c r="M27" s="57">
        <v>120</v>
      </c>
      <c r="N27" s="57">
        <v>60</v>
      </c>
      <c r="O27" s="57">
        <f t="shared" si="0"/>
        <v>5</v>
      </c>
      <c r="P27" s="57">
        <f t="shared" si="1"/>
        <v>5</v>
      </c>
    </row>
    <row r="28" spans="1:16">
      <c r="A28" s="57" t="s">
        <v>152</v>
      </c>
      <c r="B28" s="57">
        <v>27</v>
      </c>
      <c r="C28" s="57">
        <v>62</v>
      </c>
      <c r="D28" s="57">
        <v>62</v>
      </c>
      <c r="E28" s="57">
        <v>62</v>
      </c>
      <c r="F28" s="57">
        <v>62</v>
      </c>
      <c r="G28" s="57">
        <v>310</v>
      </c>
      <c r="H28" s="57">
        <v>124</v>
      </c>
      <c r="I28" s="57">
        <v>62</v>
      </c>
      <c r="J28" s="57">
        <v>124</v>
      </c>
      <c r="K28" s="57">
        <v>62</v>
      </c>
      <c r="L28" s="57">
        <v>620</v>
      </c>
      <c r="M28" s="57">
        <v>124</v>
      </c>
      <c r="N28" s="57">
        <v>62</v>
      </c>
      <c r="O28" s="57">
        <f t="shared" si="0"/>
        <v>5</v>
      </c>
      <c r="P28" s="57">
        <f t="shared" si="1"/>
        <v>5</v>
      </c>
    </row>
    <row r="29" spans="1:16">
      <c r="A29" s="57" t="s">
        <v>152</v>
      </c>
      <c r="B29" s="57">
        <v>28</v>
      </c>
      <c r="C29" s="57">
        <v>64</v>
      </c>
      <c r="D29" s="57">
        <v>64</v>
      </c>
      <c r="E29" s="57">
        <v>64</v>
      </c>
      <c r="F29" s="57">
        <v>64</v>
      </c>
      <c r="G29" s="57">
        <v>320</v>
      </c>
      <c r="H29" s="57">
        <v>128</v>
      </c>
      <c r="I29" s="57">
        <v>64</v>
      </c>
      <c r="J29" s="57">
        <v>128</v>
      </c>
      <c r="K29" s="57">
        <v>64</v>
      </c>
      <c r="L29" s="57">
        <v>640</v>
      </c>
      <c r="M29" s="57">
        <v>128</v>
      </c>
      <c r="N29" s="57">
        <v>64</v>
      </c>
      <c r="O29" s="57">
        <f t="shared" si="0"/>
        <v>5</v>
      </c>
      <c r="P29" s="57">
        <f t="shared" si="1"/>
        <v>5</v>
      </c>
    </row>
    <row r="30" spans="1:16">
      <c r="A30" s="57" t="s">
        <v>152</v>
      </c>
      <c r="B30" s="57">
        <v>29</v>
      </c>
      <c r="C30" s="57">
        <v>66</v>
      </c>
      <c r="D30" s="57">
        <v>66</v>
      </c>
      <c r="E30" s="57">
        <v>66</v>
      </c>
      <c r="F30" s="57">
        <v>66</v>
      </c>
      <c r="G30" s="57">
        <v>330</v>
      </c>
      <c r="H30" s="57">
        <v>132</v>
      </c>
      <c r="I30" s="57">
        <v>66</v>
      </c>
      <c r="J30" s="57">
        <v>132</v>
      </c>
      <c r="K30" s="57">
        <v>66</v>
      </c>
      <c r="L30" s="57">
        <v>660</v>
      </c>
      <c r="M30" s="57">
        <v>132</v>
      </c>
      <c r="N30" s="57">
        <v>66</v>
      </c>
      <c r="O30" s="57">
        <f t="shared" si="0"/>
        <v>5</v>
      </c>
      <c r="P30" s="57">
        <f t="shared" si="1"/>
        <v>5</v>
      </c>
    </row>
    <row r="31" spans="1:16">
      <c r="A31" s="57" t="s">
        <v>152</v>
      </c>
      <c r="B31" s="57">
        <v>30</v>
      </c>
      <c r="C31" s="57">
        <v>68</v>
      </c>
      <c r="D31" s="57">
        <v>68</v>
      </c>
      <c r="E31" s="57">
        <v>68</v>
      </c>
      <c r="F31" s="57">
        <v>68</v>
      </c>
      <c r="G31" s="57">
        <v>340</v>
      </c>
      <c r="H31" s="57">
        <v>136</v>
      </c>
      <c r="I31" s="57">
        <v>68</v>
      </c>
      <c r="J31" s="57">
        <v>136</v>
      </c>
      <c r="K31" s="57">
        <v>68</v>
      </c>
      <c r="L31" s="57">
        <v>680</v>
      </c>
      <c r="M31" s="57">
        <v>136</v>
      </c>
      <c r="N31" s="57">
        <v>68</v>
      </c>
      <c r="O31" s="57">
        <f t="shared" si="0"/>
        <v>5</v>
      </c>
      <c r="P31" s="57">
        <f t="shared" si="1"/>
        <v>5</v>
      </c>
    </row>
    <row r="32" spans="1:16">
      <c r="A32" s="57" t="s">
        <v>152</v>
      </c>
      <c r="B32" s="57">
        <v>31</v>
      </c>
      <c r="C32" s="57">
        <v>70</v>
      </c>
      <c r="D32" s="57">
        <v>70</v>
      </c>
      <c r="E32" s="57">
        <v>70</v>
      </c>
      <c r="F32" s="57">
        <v>70</v>
      </c>
      <c r="G32" s="57">
        <v>350</v>
      </c>
      <c r="H32" s="57">
        <v>140</v>
      </c>
      <c r="I32" s="57">
        <v>70</v>
      </c>
      <c r="J32" s="57">
        <v>140</v>
      </c>
      <c r="K32" s="57">
        <v>70</v>
      </c>
      <c r="L32" s="57">
        <v>700</v>
      </c>
      <c r="M32" s="57">
        <v>140</v>
      </c>
      <c r="N32" s="57">
        <v>70</v>
      </c>
      <c r="O32" s="57">
        <f t="shared" si="0"/>
        <v>5</v>
      </c>
      <c r="P32" s="57">
        <f t="shared" si="1"/>
        <v>5</v>
      </c>
    </row>
    <row r="33" spans="1:16">
      <c r="A33" s="57" t="s">
        <v>152</v>
      </c>
      <c r="B33" s="57">
        <v>32</v>
      </c>
      <c r="C33" s="57">
        <v>72</v>
      </c>
      <c r="D33" s="57">
        <v>72</v>
      </c>
      <c r="E33" s="57">
        <v>72</v>
      </c>
      <c r="F33" s="57">
        <v>72</v>
      </c>
      <c r="G33" s="57">
        <v>360</v>
      </c>
      <c r="H33" s="57">
        <v>144</v>
      </c>
      <c r="I33" s="57">
        <v>72</v>
      </c>
      <c r="J33" s="57">
        <v>144</v>
      </c>
      <c r="K33" s="57">
        <v>72</v>
      </c>
      <c r="L33" s="57">
        <v>720</v>
      </c>
      <c r="M33" s="57">
        <v>144</v>
      </c>
      <c r="N33" s="57">
        <v>72</v>
      </c>
      <c r="O33" s="57">
        <f t="shared" si="0"/>
        <v>5</v>
      </c>
      <c r="P33" s="57">
        <f t="shared" si="1"/>
        <v>5</v>
      </c>
    </row>
    <row r="34" spans="1:16">
      <c r="A34" s="57" t="s">
        <v>152</v>
      </c>
      <c r="B34" s="57">
        <v>33</v>
      </c>
      <c r="C34" s="57">
        <v>74</v>
      </c>
      <c r="D34" s="57">
        <v>74</v>
      </c>
      <c r="E34" s="57">
        <v>74</v>
      </c>
      <c r="F34" s="57">
        <v>74</v>
      </c>
      <c r="G34" s="57">
        <v>370</v>
      </c>
      <c r="H34" s="57">
        <v>148</v>
      </c>
      <c r="I34" s="57">
        <v>74</v>
      </c>
      <c r="J34" s="57">
        <v>148</v>
      </c>
      <c r="K34" s="57">
        <v>74</v>
      </c>
      <c r="L34" s="57">
        <v>740</v>
      </c>
      <c r="M34" s="57">
        <v>148</v>
      </c>
      <c r="N34" s="57">
        <v>74</v>
      </c>
      <c r="O34" s="57">
        <f t="shared" si="0"/>
        <v>5</v>
      </c>
      <c r="P34" s="57">
        <f t="shared" si="1"/>
        <v>5</v>
      </c>
    </row>
    <row r="35" spans="1:16">
      <c r="A35" s="57" t="s">
        <v>152</v>
      </c>
      <c r="B35" s="57">
        <v>34</v>
      </c>
      <c r="C35" s="57">
        <v>76</v>
      </c>
      <c r="D35" s="57">
        <v>76</v>
      </c>
      <c r="E35" s="57">
        <v>76</v>
      </c>
      <c r="F35" s="57">
        <v>76</v>
      </c>
      <c r="G35" s="57">
        <v>380</v>
      </c>
      <c r="H35" s="57">
        <v>152</v>
      </c>
      <c r="I35" s="57">
        <v>76</v>
      </c>
      <c r="J35" s="57">
        <v>152</v>
      </c>
      <c r="K35" s="57">
        <v>76</v>
      </c>
      <c r="L35" s="57">
        <v>760</v>
      </c>
      <c r="M35" s="57">
        <v>152</v>
      </c>
      <c r="N35" s="57">
        <v>76</v>
      </c>
      <c r="O35" s="57">
        <f t="shared" si="0"/>
        <v>5</v>
      </c>
      <c r="P35" s="57">
        <f t="shared" si="1"/>
        <v>5</v>
      </c>
    </row>
    <row r="36" spans="1:16" s="61" customFormat="1">
      <c r="A36" s="61" t="s">
        <v>152</v>
      </c>
      <c r="B36" s="61">
        <v>35</v>
      </c>
      <c r="C36" s="61">
        <v>78</v>
      </c>
      <c r="D36" s="61">
        <v>78</v>
      </c>
      <c r="E36" s="61">
        <v>78</v>
      </c>
      <c r="F36" s="61">
        <v>78</v>
      </c>
      <c r="G36" s="61">
        <v>390</v>
      </c>
      <c r="H36" s="61">
        <v>156</v>
      </c>
      <c r="I36" s="61">
        <v>78</v>
      </c>
      <c r="J36" s="61">
        <v>156</v>
      </c>
      <c r="K36" s="61">
        <v>78</v>
      </c>
      <c r="L36" s="61">
        <v>780</v>
      </c>
      <c r="M36" s="61">
        <v>156</v>
      </c>
      <c r="N36" s="61">
        <v>78</v>
      </c>
      <c r="O36" s="61">
        <f t="shared" si="0"/>
        <v>5</v>
      </c>
      <c r="P36" s="61">
        <f t="shared" si="1"/>
        <v>5</v>
      </c>
    </row>
    <row r="37" spans="1:16">
      <c r="A37" s="57" t="s">
        <v>152</v>
      </c>
      <c r="B37" s="57">
        <v>36</v>
      </c>
      <c r="C37" s="57">
        <v>80</v>
      </c>
      <c r="D37" s="57">
        <v>80</v>
      </c>
      <c r="E37" s="57">
        <v>80</v>
      </c>
      <c r="F37" s="57">
        <v>80</v>
      </c>
      <c r="G37" s="57">
        <v>400</v>
      </c>
      <c r="H37" s="57">
        <v>160</v>
      </c>
      <c r="I37" s="57">
        <v>80</v>
      </c>
      <c r="J37" s="57">
        <v>160</v>
      </c>
      <c r="K37" s="57">
        <v>80</v>
      </c>
      <c r="L37" s="57">
        <v>800</v>
      </c>
      <c r="M37" s="57">
        <v>160</v>
      </c>
      <c r="N37" s="57">
        <v>80</v>
      </c>
      <c r="O37" s="57">
        <f t="shared" si="0"/>
        <v>5</v>
      </c>
      <c r="P37" s="57">
        <f t="shared" si="1"/>
        <v>5</v>
      </c>
    </row>
    <row r="38" spans="1:16">
      <c r="A38" s="57" t="s">
        <v>152</v>
      </c>
      <c r="B38" s="57">
        <v>37</v>
      </c>
      <c r="C38" s="57">
        <v>82</v>
      </c>
      <c r="D38" s="57">
        <v>82</v>
      </c>
      <c r="E38" s="57">
        <v>82</v>
      </c>
      <c r="F38" s="57">
        <v>82</v>
      </c>
      <c r="G38" s="57">
        <v>410</v>
      </c>
      <c r="H38" s="57">
        <v>164</v>
      </c>
      <c r="I38" s="57">
        <v>82</v>
      </c>
      <c r="J38" s="57">
        <v>164</v>
      </c>
      <c r="K38" s="57">
        <v>82</v>
      </c>
      <c r="L38" s="57">
        <v>820</v>
      </c>
      <c r="M38" s="57">
        <v>164</v>
      </c>
      <c r="N38" s="57">
        <v>82</v>
      </c>
      <c r="O38" s="57">
        <f t="shared" si="0"/>
        <v>5</v>
      </c>
      <c r="P38" s="57">
        <f t="shared" si="1"/>
        <v>5</v>
      </c>
    </row>
    <row r="39" spans="1:16">
      <c r="A39" s="57" t="s">
        <v>152</v>
      </c>
      <c r="B39" s="57">
        <v>38</v>
      </c>
      <c r="C39" s="57">
        <v>84</v>
      </c>
      <c r="D39" s="57">
        <v>84</v>
      </c>
      <c r="E39" s="57">
        <v>84</v>
      </c>
      <c r="F39" s="57">
        <v>84</v>
      </c>
      <c r="G39" s="57">
        <v>420</v>
      </c>
      <c r="H39" s="57">
        <v>168</v>
      </c>
      <c r="I39" s="57">
        <v>84</v>
      </c>
      <c r="J39" s="57">
        <v>168</v>
      </c>
      <c r="K39" s="57">
        <v>84</v>
      </c>
      <c r="L39" s="57">
        <v>840</v>
      </c>
      <c r="M39" s="57">
        <v>168</v>
      </c>
      <c r="N39" s="57">
        <v>84</v>
      </c>
      <c r="O39" s="57">
        <f t="shared" si="0"/>
        <v>5</v>
      </c>
      <c r="P39" s="57">
        <f t="shared" si="1"/>
        <v>5</v>
      </c>
    </row>
    <row r="40" spans="1:16">
      <c r="A40" s="57" t="s">
        <v>152</v>
      </c>
      <c r="B40" s="57">
        <v>39</v>
      </c>
      <c r="C40" s="57">
        <v>86</v>
      </c>
      <c r="D40" s="57">
        <v>86</v>
      </c>
      <c r="E40" s="57">
        <v>86</v>
      </c>
      <c r="F40" s="57">
        <v>86</v>
      </c>
      <c r="G40" s="57">
        <v>430</v>
      </c>
      <c r="H40" s="57">
        <v>172</v>
      </c>
      <c r="I40" s="57">
        <v>86</v>
      </c>
      <c r="J40" s="57">
        <v>172</v>
      </c>
      <c r="K40" s="57">
        <v>86</v>
      </c>
      <c r="L40" s="57">
        <v>860</v>
      </c>
      <c r="M40" s="57">
        <v>172</v>
      </c>
      <c r="N40" s="57">
        <v>86</v>
      </c>
      <c r="O40" s="57">
        <f t="shared" si="0"/>
        <v>5</v>
      </c>
      <c r="P40" s="57">
        <f t="shared" si="1"/>
        <v>5</v>
      </c>
    </row>
    <row r="41" spans="1:16">
      <c r="A41" s="57" t="s">
        <v>152</v>
      </c>
      <c r="B41" s="57">
        <v>40</v>
      </c>
      <c r="C41" s="57">
        <v>88</v>
      </c>
      <c r="D41" s="57">
        <v>88</v>
      </c>
      <c r="E41" s="57">
        <v>88</v>
      </c>
      <c r="F41" s="57">
        <v>88</v>
      </c>
      <c r="G41" s="57">
        <v>440</v>
      </c>
      <c r="H41" s="57">
        <v>176</v>
      </c>
      <c r="I41" s="57">
        <v>88</v>
      </c>
      <c r="J41" s="57">
        <v>176</v>
      </c>
      <c r="K41" s="57">
        <v>88</v>
      </c>
      <c r="L41" s="57">
        <v>880</v>
      </c>
      <c r="M41" s="57">
        <v>176</v>
      </c>
      <c r="N41" s="57">
        <v>88</v>
      </c>
      <c r="O41" s="57">
        <f t="shared" si="0"/>
        <v>5</v>
      </c>
      <c r="P41" s="57">
        <f t="shared" si="1"/>
        <v>5</v>
      </c>
    </row>
    <row r="42" spans="1:16">
      <c r="A42" s="57" t="s">
        <v>152</v>
      </c>
      <c r="B42" s="57">
        <v>41</v>
      </c>
      <c r="C42" s="57">
        <v>90</v>
      </c>
      <c r="D42" s="57">
        <v>90</v>
      </c>
      <c r="E42" s="57">
        <v>90</v>
      </c>
      <c r="F42" s="57">
        <v>90</v>
      </c>
      <c r="G42" s="57">
        <v>450</v>
      </c>
      <c r="H42" s="57">
        <v>180</v>
      </c>
      <c r="I42" s="57">
        <v>90</v>
      </c>
      <c r="J42" s="57">
        <v>180</v>
      </c>
      <c r="K42" s="57">
        <v>90</v>
      </c>
      <c r="L42" s="57">
        <v>900</v>
      </c>
      <c r="M42" s="57">
        <v>180</v>
      </c>
      <c r="N42" s="57">
        <v>90</v>
      </c>
      <c r="O42" s="57">
        <f t="shared" si="0"/>
        <v>5</v>
      </c>
      <c r="P42" s="57">
        <f t="shared" si="1"/>
        <v>5</v>
      </c>
    </row>
    <row r="43" spans="1:16">
      <c r="A43" s="57" t="s">
        <v>152</v>
      </c>
      <c r="B43" s="57">
        <v>42</v>
      </c>
      <c r="C43" s="57">
        <v>92</v>
      </c>
      <c r="D43" s="57">
        <v>92</v>
      </c>
      <c r="E43" s="57">
        <v>92</v>
      </c>
      <c r="F43" s="57">
        <v>92</v>
      </c>
      <c r="G43" s="57">
        <v>460</v>
      </c>
      <c r="H43" s="57">
        <v>184</v>
      </c>
      <c r="I43" s="57">
        <v>92</v>
      </c>
      <c r="J43" s="57">
        <v>184</v>
      </c>
      <c r="K43" s="57">
        <v>92</v>
      </c>
      <c r="L43" s="57">
        <v>920</v>
      </c>
      <c r="M43" s="57">
        <v>184</v>
      </c>
      <c r="N43" s="57">
        <v>92</v>
      </c>
      <c r="O43" s="57">
        <f t="shared" si="0"/>
        <v>5</v>
      </c>
      <c r="P43" s="57">
        <f t="shared" si="1"/>
        <v>5</v>
      </c>
    </row>
    <row r="44" spans="1:16">
      <c r="A44" s="57" t="s">
        <v>152</v>
      </c>
      <c r="B44" s="57">
        <v>43</v>
      </c>
      <c r="C44" s="57">
        <v>94</v>
      </c>
      <c r="D44" s="57">
        <v>94</v>
      </c>
      <c r="E44" s="57">
        <v>94</v>
      </c>
      <c r="F44" s="57">
        <v>94</v>
      </c>
      <c r="G44" s="57">
        <v>470</v>
      </c>
      <c r="H44" s="57">
        <v>188</v>
      </c>
      <c r="I44" s="57">
        <v>94</v>
      </c>
      <c r="J44" s="57">
        <v>188</v>
      </c>
      <c r="K44" s="57">
        <v>94</v>
      </c>
      <c r="L44" s="57">
        <v>940</v>
      </c>
      <c r="M44" s="57">
        <v>188</v>
      </c>
      <c r="N44" s="57">
        <v>94</v>
      </c>
      <c r="O44" s="57">
        <f t="shared" si="0"/>
        <v>5</v>
      </c>
      <c r="P44" s="57">
        <f t="shared" si="1"/>
        <v>5</v>
      </c>
    </row>
    <row r="45" spans="1:16">
      <c r="A45" s="57" t="s">
        <v>152</v>
      </c>
      <c r="B45" s="57">
        <v>44</v>
      </c>
      <c r="C45" s="57">
        <v>96</v>
      </c>
      <c r="D45" s="57">
        <v>96</v>
      </c>
      <c r="E45" s="57">
        <v>96</v>
      </c>
      <c r="F45" s="57">
        <v>96</v>
      </c>
      <c r="G45" s="57">
        <v>480</v>
      </c>
      <c r="H45" s="57">
        <v>192</v>
      </c>
      <c r="I45" s="57">
        <v>96</v>
      </c>
      <c r="J45" s="57">
        <v>192</v>
      </c>
      <c r="K45" s="57">
        <v>96</v>
      </c>
      <c r="L45" s="57">
        <v>960</v>
      </c>
      <c r="M45" s="57">
        <v>192</v>
      </c>
      <c r="N45" s="57">
        <v>96</v>
      </c>
      <c r="O45" s="57">
        <f t="shared" si="0"/>
        <v>5</v>
      </c>
      <c r="P45" s="57">
        <f t="shared" si="1"/>
        <v>5</v>
      </c>
    </row>
    <row r="46" spans="1:16" s="61" customFormat="1">
      <c r="A46" s="61" t="s">
        <v>152</v>
      </c>
      <c r="B46" s="61">
        <v>45</v>
      </c>
      <c r="C46" s="61">
        <v>98</v>
      </c>
      <c r="D46" s="61">
        <v>98</v>
      </c>
      <c r="E46" s="61">
        <v>98</v>
      </c>
      <c r="F46" s="61">
        <v>98</v>
      </c>
      <c r="G46" s="61">
        <v>490</v>
      </c>
      <c r="H46" s="61">
        <v>196</v>
      </c>
      <c r="I46" s="61">
        <v>98</v>
      </c>
      <c r="J46" s="61">
        <v>196</v>
      </c>
      <c r="K46" s="61">
        <v>98</v>
      </c>
      <c r="L46" s="61">
        <v>980</v>
      </c>
      <c r="M46" s="61">
        <v>196</v>
      </c>
      <c r="N46" s="61">
        <v>98</v>
      </c>
      <c r="O46" s="61">
        <f t="shared" si="0"/>
        <v>5</v>
      </c>
      <c r="P46" s="61">
        <f t="shared" si="1"/>
        <v>5</v>
      </c>
    </row>
    <row r="47" spans="1:16">
      <c r="A47" s="57" t="s">
        <v>152</v>
      </c>
      <c r="B47" s="57">
        <v>46</v>
      </c>
      <c r="C47" s="57">
        <v>100</v>
      </c>
      <c r="D47" s="57">
        <v>100</v>
      </c>
      <c r="E47" s="57">
        <v>100</v>
      </c>
      <c r="F47" s="57">
        <v>100</v>
      </c>
      <c r="G47" s="57">
        <v>500</v>
      </c>
      <c r="H47" s="57">
        <v>200</v>
      </c>
      <c r="I47" s="57">
        <v>100</v>
      </c>
      <c r="J47" s="57">
        <v>200</v>
      </c>
      <c r="K47" s="57">
        <v>100</v>
      </c>
      <c r="L47" s="57">
        <v>1000</v>
      </c>
      <c r="M47" s="57">
        <v>200</v>
      </c>
      <c r="N47" s="57">
        <v>100</v>
      </c>
      <c r="O47" s="57">
        <f t="shared" si="0"/>
        <v>5</v>
      </c>
      <c r="P47" s="57">
        <f t="shared" si="1"/>
        <v>5</v>
      </c>
    </row>
    <row r="48" spans="1:16">
      <c r="A48" s="57" t="s">
        <v>152</v>
      </c>
      <c r="B48" s="57">
        <v>47</v>
      </c>
      <c r="C48" s="57">
        <v>102</v>
      </c>
      <c r="D48" s="57">
        <v>102</v>
      </c>
      <c r="E48" s="57">
        <v>102</v>
      </c>
      <c r="F48" s="57">
        <v>102</v>
      </c>
      <c r="G48" s="57">
        <v>510</v>
      </c>
      <c r="H48" s="57">
        <v>204</v>
      </c>
      <c r="I48" s="57">
        <v>102</v>
      </c>
      <c r="J48" s="57">
        <v>204</v>
      </c>
      <c r="K48" s="57">
        <v>102</v>
      </c>
      <c r="L48" s="57">
        <v>1020</v>
      </c>
      <c r="M48" s="57">
        <v>204</v>
      </c>
      <c r="N48" s="57">
        <v>102</v>
      </c>
      <c r="O48" s="57">
        <f t="shared" si="0"/>
        <v>5</v>
      </c>
      <c r="P48" s="57">
        <f t="shared" si="1"/>
        <v>5</v>
      </c>
    </row>
    <row r="49" spans="1:16">
      <c r="A49" s="57" t="s">
        <v>152</v>
      </c>
      <c r="B49" s="57">
        <v>48</v>
      </c>
      <c r="C49" s="57">
        <v>104</v>
      </c>
      <c r="D49" s="57">
        <v>104</v>
      </c>
      <c r="E49" s="57">
        <v>104</v>
      </c>
      <c r="F49" s="57">
        <v>104</v>
      </c>
      <c r="G49" s="57">
        <v>520</v>
      </c>
      <c r="H49" s="57">
        <v>208</v>
      </c>
      <c r="I49" s="57">
        <v>104</v>
      </c>
      <c r="J49" s="57">
        <v>208</v>
      </c>
      <c r="K49" s="57">
        <v>104</v>
      </c>
      <c r="L49" s="57">
        <v>1040</v>
      </c>
      <c r="M49" s="57">
        <v>208</v>
      </c>
      <c r="N49" s="57">
        <v>104</v>
      </c>
      <c r="O49" s="57">
        <f t="shared" si="0"/>
        <v>5</v>
      </c>
      <c r="P49" s="57">
        <f t="shared" si="1"/>
        <v>5</v>
      </c>
    </row>
    <row r="50" spans="1:16">
      <c r="A50" s="57" t="s">
        <v>152</v>
      </c>
      <c r="B50" s="57">
        <v>49</v>
      </c>
      <c r="C50" s="57">
        <v>106</v>
      </c>
      <c r="D50" s="57">
        <v>106</v>
      </c>
      <c r="E50" s="57">
        <v>106</v>
      </c>
      <c r="F50" s="57">
        <v>106</v>
      </c>
      <c r="G50" s="57">
        <v>530</v>
      </c>
      <c r="H50" s="57">
        <v>212</v>
      </c>
      <c r="I50" s="57">
        <v>106</v>
      </c>
      <c r="J50" s="57">
        <v>212</v>
      </c>
      <c r="K50" s="57">
        <v>106</v>
      </c>
      <c r="L50" s="57">
        <v>1060</v>
      </c>
      <c r="M50" s="57">
        <v>212</v>
      </c>
      <c r="N50" s="57">
        <v>106</v>
      </c>
      <c r="O50" s="57">
        <f t="shared" si="0"/>
        <v>5</v>
      </c>
      <c r="P50" s="57">
        <f t="shared" si="1"/>
        <v>5</v>
      </c>
    </row>
    <row r="51" spans="1:16">
      <c r="A51" s="57" t="s">
        <v>152</v>
      </c>
      <c r="B51" s="57">
        <v>50</v>
      </c>
      <c r="C51" s="57">
        <v>108</v>
      </c>
      <c r="D51" s="57">
        <v>108</v>
      </c>
      <c r="E51" s="57">
        <v>108</v>
      </c>
      <c r="F51" s="57">
        <v>108</v>
      </c>
      <c r="G51" s="57">
        <v>540</v>
      </c>
      <c r="H51" s="57">
        <v>216</v>
      </c>
      <c r="I51" s="57">
        <v>108</v>
      </c>
      <c r="J51" s="57">
        <v>216</v>
      </c>
      <c r="K51" s="57">
        <v>108</v>
      </c>
      <c r="L51" s="57">
        <v>1080</v>
      </c>
      <c r="M51" s="57">
        <v>216</v>
      </c>
      <c r="N51" s="57">
        <v>108</v>
      </c>
      <c r="O51" s="57">
        <f t="shared" si="0"/>
        <v>5</v>
      </c>
      <c r="P51" s="57">
        <f t="shared" si="1"/>
        <v>5</v>
      </c>
    </row>
    <row r="52" spans="1:16">
      <c r="A52" s="57" t="s">
        <v>152</v>
      </c>
      <c r="B52" s="57">
        <v>51</v>
      </c>
      <c r="C52" s="57">
        <v>110</v>
      </c>
      <c r="D52" s="57">
        <v>110</v>
      </c>
      <c r="E52" s="57">
        <v>110</v>
      </c>
      <c r="F52" s="57">
        <v>110</v>
      </c>
      <c r="G52" s="57">
        <v>550</v>
      </c>
      <c r="H52" s="57">
        <v>220</v>
      </c>
      <c r="I52" s="57">
        <v>110</v>
      </c>
      <c r="J52" s="57">
        <v>220</v>
      </c>
      <c r="K52" s="57">
        <v>110</v>
      </c>
      <c r="L52" s="57">
        <v>1100</v>
      </c>
      <c r="M52" s="57">
        <v>220</v>
      </c>
      <c r="N52" s="57">
        <v>110</v>
      </c>
      <c r="O52" s="57">
        <f t="shared" si="0"/>
        <v>5</v>
      </c>
      <c r="P52" s="57">
        <f t="shared" si="1"/>
        <v>5</v>
      </c>
    </row>
    <row r="53" spans="1:16">
      <c r="A53" s="57" t="s">
        <v>152</v>
      </c>
      <c r="B53" s="57">
        <v>52</v>
      </c>
      <c r="C53" s="57">
        <v>112</v>
      </c>
      <c r="D53" s="57">
        <v>112</v>
      </c>
      <c r="E53" s="57">
        <v>112</v>
      </c>
      <c r="F53" s="57">
        <v>112</v>
      </c>
      <c r="G53" s="57">
        <v>560</v>
      </c>
      <c r="H53" s="57">
        <v>224</v>
      </c>
      <c r="I53" s="57">
        <v>112</v>
      </c>
      <c r="J53" s="57">
        <v>224</v>
      </c>
      <c r="K53" s="57">
        <v>112</v>
      </c>
      <c r="L53" s="57">
        <v>1120</v>
      </c>
      <c r="M53" s="57">
        <v>224</v>
      </c>
      <c r="N53" s="57">
        <v>112</v>
      </c>
      <c r="O53" s="57">
        <f t="shared" si="0"/>
        <v>5</v>
      </c>
      <c r="P53" s="57">
        <f t="shared" si="1"/>
        <v>5</v>
      </c>
    </row>
    <row r="54" spans="1:16">
      <c r="A54" s="57" t="s">
        <v>152</v>
      </c>
      <c r="B54" s="57">
        <v>53</v>
      </c>
      <c r="C54" s="57">
        <v>114</v>
      </c>
      <c r="D54" s="57">
        <v>114</v>
      </c>
      <c r="E54" s="57">
        <v>114</v>
      </c>
      <c r="F54" s="57">
        <v>114</v>
      </c>
      <c r="G54" s="57">
        <v>570</v>
      </c>
      <c r="H54" s="57">
        <v>228</v>
      </c>
      <c r="I54" s="57">
        <v>114</v>
      </c>
      <c r="J54" s="57">
        <v>228</v>
      </c>
      <c r="K54" s="57">
        <v>114</v>
      </c>
      <c r="L54" s="57">
        <v>1140</v>
      </c>
      <c r="M54" s="57">
        <v>228</v>
      </c>
      <c r="N54" s="57">
        <v>114</v>
      </c>
      <c r="O54" s="57">
        <f t="shared" si="0"/>
        <v>5</v>
      </c>
      <c r="P54" s="57">
        <f t="shared" si="1"/>
        <v>5</v>
      </c>
    </row>
    <row r="55" spans="1:16">
      <c r="A55" s="57" t="s">
        <v>152</v>
      </c>
      <c r="B55" s="57">
        <v>54</v>
      </c>
      <c r="C55" s="57">
        <v>116</v>
      </c>
      <c r="D55" s="57">
        <v>116</v>
      </c>
      <c r="E55" s="57">
        <v>116</v>
      </c>
      <c r="F55" s="57">
        <v>116</v>
      </c>
      <c r="G55" s="57">
        <v>580</v>
      </c>
      <c r="H55" s="57">
        <v>232</v>
      </c>
      <c r="I55" s="57">
        <v>116</v>
      </c>
      <c r="J55" s="57">
        <v>232</v>
      </c>
      <c r="K55" s="57">
        <v>116</v>
      </c>
      <c r="L55" s="57">
        <v>1160</v>
      </c>
      <c r="M55" s="57">
        <v>232</v>
      </c>
      <c r="N55" s="57">
        <v>116</v>
      </c>
      <c r="O55" s="57">
        <f t="shared" si="0"/>
        <v>5</v>
      </c>
      <c r="P55" s="57">
        <f t="shared" si="1"/>
        <v>5</v>
      </c>
    </row>
    <row r="56" spans="1:16">
      <c r="A56" s="57" t="s">
        <v>152</v>
      </c>
      <c r="B56" s="57">
        <v>55</v>
      </c>
      <c r="C56" s="57">
        <v>118</v>
      </c>
      <c r="D56" s="57">
        <v>118</v>
      </c>
      <c r="E56" s="57">
        <v>118</v>
      </c>
      <c r="F56" s="57">
        <v>118</v>
      </c>
      <c r="G56" s="57">
        <v>590</v>
      </c>
      <c r="H56" s="57">
        <v>236</v>
      </c>
      <c r="I56" s="57">
        <v>118</v>
      </c>
      <c r="J56" s="57">
        <v>236</v>
      </c>
      <c r="K56" s="57">
        <v>118</v>
      </c>
      <c r="L56" s="57">
        <v>1180</v>
      </c>
      <c r="M56" s="57">
        <v>236</v>
      </c>
      <c r="N56" s="57">
        <v>118</v>
      </c>
      <c r="O56" s="57">
        <f t="shared" si="0"/>
        <v>5</v>
      </c>
      <c r="P56" s="57">
        <f t="shared" si="1"/>
        <v>5</v>
      </c>
    </row>
    <row r="57" spans="1:16">
      <c r="A57" s="57" t="s">
        <v>152</v>
      </c>
      <c r="B57" s="57">
        <v>56</v>
      </c>
      <c r="C57" s="57">
        <v>120</v>
      </c>
      <c r="D57" s="57">
        <v>120</v>
      </c>
      <c r="E57" s="57">
        <v>120</v>
      </c>
      <c r="F57" s="57">
        <v>120</v>
      </c>
      <c r="G57" s="57">
        <v>600</v>
      </c>
      <c r="H57" s="57">
        <v>240</v>
      </c>
      <c r="I57" s="57">
        <v>120</v>
      </c>
      <c r="J57" s="57">
        <v>240</v>
      </c>
      <c r="K57" s="57">
        <v>120</v>
      </c>
      <c r="L57" s="57">
        <v>1200</v>
      </c>
      <c r="M57" s="57">
        <v>240</v>
      </c>
      <c r="N57" s="57">
        <v>120</v>
      </c>
      <c r="O57" s="57">
        <f t="shared" si="0"/>
        <v>5</v>
      </c>
      <c r="P57" s="57">
        <f t="shared" si="1"/>
        <v>5</v>
      </c>
    </row>
    <row r="58" spans="1:16">
      <c r="A58" s="57" t="s">
        <v>152</v>
      </c>
      <c r="B58" s="57">
        <v>57</v>
      </c>
      <c r="C58" s="57">
        <v>122</v>
      </c>
      <c r="D58" s="57">
        <v>122</v>
      </c>
      <c r="E58" s="57">
        <v>122</v>
      </c>
      <c r="F58" s="57">
        <v>122</v>
      </c>
      <c r="G58" s="57">
        <v>610</v>
      </c>
      <c r="H58" s="57">
        <v>244</v>
      </c>
      <c r="I58" s="57">
        <v>122</v>
      </c>
      <c r="J58" s="57">
        <v>244</v>
      </c>
      <c r="K58" s="57">
        <v>122</v>
      </c>
      <c r="L58" s="57">
        <v>1220</v>
      </c>
      <c r="M58" s="57">
        <v>244</v>
      </c>
      <c r="N58" s="57">
        <v>122</v>
      </c>
      <c r="O58" s="57">
        <f t="shared" si="0"/>
        <v>5</v>
      </c>
      <c r="P58" s="57">
        <f t="shared" si="1"/>
        <v>5</v>
      </c>
    </row>
    <row r="59" spans="1:16">
      <c r="A59" s="57" t="s">
        <v>152</v>
      </c>
      <c r="B59" s="57">
        <v>58</v>
      </c>
      <c r="C59" s="57">
        <v>124</v>
      </c>
      <c r="D59" s="57">
        <v>124</v>
      </c>
      <c r="E59" s="57">
        <v>124</v>
      </c>
      <c r="F59" s="57">
        <v>124</v>
      </c>
      <c r="G59" s="57">
        <v>620</v>
      </c>
      <c r="H59" s="57">
        <v>248</v>
      </c>
      <c r="I59" s="57">
        <v>124</v>
      </c>
      <c r="J59" s="57">
        <v>248</v>
      </c>
      <c r="K59" s="57">
        <v>124</v>
      </c>
      <c r="L59" s="57">
        <v>1240</v>
      </c>
      <c r="M59" s="57">
        <v>248</v>
      </c>
      <c r="N59" s="57">
        <v>124</v>
      </c>
      <c r="O59" s="57">
        <f t="shared" si="0"/>
        <v>5</v>
      </c>
      <c r="P59" s="57">
        <f t="shared" si="1"/>
        <v>5</v>
      </c>
    </row>
    <row r="60" spans="1:16">
      <c r="A60" s="57" t="s">
        <v>152</v>
      </c>
      <c r="B60" s="57">
        <v>59</v>
      </c>
      <c r="C60" s="57">
        <v>126</v>
      </c>
      <c r="D60" s="57">
        <v>126</v>
      </c>
      <c r="E60" s="57">
        <v>126</v>
      </c>
      <c r="F60" s="57">
        <v>126</v>
      </c>
      <c r="G60" s="57">
        <v>630</v>
      </c>
      <c r="H60" s="57">
        <v>252</v>
      </c>
      <c r="I60" s="57">
        <v>126</v>
      </c>
      <c r="J60" s="57">
        <v>252</v>
      </c>
      <c r="K60" s="57">
        <v>126</v>
      </c>
      <c r="L60" s="57">
        <v>1260</v>
      </c>
      <c r="M60" s="57">
        <v>252</v>
      </c>
      <c r="N60" s="57">
        <v>126</v>
      </c>
      <c r="O60" s="57">
        <f t="shared" si="0"/>
        <v>5</v>
      </c>
      <c r="P60" s="57">
        <f t="shared" si="1"/>
        <v>5</v>
      </c>
    </row>
    <row r="61" spans="1:16">
      <c r="A61" s="57" t="s">
        <v>152</v>
      </c>
      <c r="B61" s="57">
        <v>60</v>
      </c>
      <c r="C61" s="57">
        <v>128</v>
      </c>
      <c r="D61" s="57">
        <v>128</v>
      </c>
      <c r="E61" s="57">
        <v>128</v>
      </c>
      <c r="F61" s="57">
        <v>128</v>
      </c>
      <c r="G61" s="57">
        <v>640</v>
      </c>
      <c r="H61" s="57">
        <v>256</v>
      </c>
      <c r="I61" s="57">
        <v>128</v>
      </c>
      <c r="J61" s="57">
        <v>256</v>
      </c>
      <c r="K61" s="57">
        <v>128</v>
      </c>
      <c r="L61" s="57">
        <v>1280</v>
      </c>
      <c r="M61" s="57">
        <v>256</v>
      </c>
      <c r="N61" s="57">
        <v>128</v>
      </c>
      <c r="O61" s="57">
        <f t="shared" si="0"/>
        <v>5</v>
      </c>
      <c r="P61" s="57">
        <f t="shared" si="1"/>
        <v>5</v>
      </c>
    </row>
    <row r="62" spans="1:16">
      <c r="A62" s="57" t="s">
        <v>152</v>
      </c>
      <c r="B62" s="57">
        <v>61</v>
      </c>
      <c r="C62" s="57">
        <v>130</v>
      </c>
      <c r="D62" s="57">
        <v>130</v>
      </c>
      <c r="E62" s="57">
        <v>130</v>
      </c>
      <c r="F62" s="57">
        <v>130</v>
      </c>
      <c r="G62" s="57">
        <v>650</v>
      </c>
      <c r="H62" s="57">
        <v>260</v>
      </c>
      <c r="I62" s="57">
        <v>130</v>
      </c>
      <c r="J62" s="57">
        <v>260</v>
      </c>
      <c r="K62" s="57">
        <v>130</v>
      </c>
      <c r="L62" s="57">
        <v>1300</v>
      </c>
      <c r="M62" s="57">
        <v>260</v>
      </c>
      <c r="N62" s="57">
        <v>130</v>
      </c>
      <c r="O62" s="57">
        <f t="shared" si="0"/>
        <v>5</v>
      </c>
      <c r="P62" s="57">
        <f t="shared" si="1"/>
        <v>5</v>
      </c>
    </row>
    <row r="63" spans="1:16">
      <c r="A63" s="57" t="s">
        <v>152</v>
      </c>
      <c r="B63" s="57">
        <v>62</v>
      </c>
      <c r="C63" s="57">
        <v>132</v>
      </c>
      <c r="D63" s="57">
        <v>132</v>
      </c>
      <c r="E63" s="57">
        <v>132</v>
      </c>
      <c r="F63" s="57">
        <v>132</v>
      </c>
      <c r="G63" s="57">
        <v>660</v>
      </c>
      <c r="H63" s="57">
        <v>264</v>
      </c>
      <c r="I63" s="57">
        <v>132</v>
      </c>
      <c r="J63" s="57">
        <v>264</v>
      </c>
      <c r="K63" s="57">
        <v>132</v>
      </c>
      <c r="L63" s="57">
        <v>1320</v>
      </c>
      <c r="M63" s="57">
        <v>264</v>
      </c>
      <c r="N63" s="57">
        <v>132</v>
      </c>
      <c r="O63" s="57">
        <f t="shared" si="0"/>
        <v>5</v>
      </c>
      <c r="P63" s="57">
        <f t="shared" si="1"/>
        <v>5</v>
      </c>
    </row>
    <row r="64" spans="1:16">
      <c r="A64" s="57" t="s">
        <v>152</v>
      </c>
      <c r="B64" s="57">
        <v>63</v>
      </c>
      <c r="C64" s="57">
        <v>134</v>
      </c>
      <c r="D64" s="57">
        <v>134</v>
      </c>
      <c r="E64" s="57">
        <v>134</v>
      </c>
      <c r="F64" s="57">
        <v>134</v>
      </c>
      <c r="G64" s="57">
        <v>670</v>
      </c>
      <c r="H64" s="57">
        <v>268</v>
      </c>
      <c r="I64" s="57">
        <v>134</v>
      </c>
      <c r="J64" s="57">
        <v>268</v>
      </c>
      <c r="K64" s="57">
        <v>134</v>
      </c>
      <c r="L64" s="57">
        <v>1340</v>
      </c>
      <c r="M64" s="57">
        <v>268</v>
      </c>
      <c r="N64" s="57">
        <v>134</v>
      </c>
      <c r="O64" s="57">
        <f t="shared" si="0"/>
        <v>5</v>
      </c>
      <c r="P64" s="57">
        <f t="shared" si="1"/>
        <v>5</v>
      </c>
    </row>
    <row r="65" spans="1:16">
      <c r="A65" s="57" t="s">
        <v>152</v>
      </c>
      <c r="B65" s="57">
        <v>64</v>
      </c>
      <c r="C65" s="57">
        <v>136</v>
      </c>
      <c r="D65" s="57">
        <v>136</v>
      </c>
      <c r="E65" s="57">
        <v>136</v>
      </c>
      <c r="F65" s="57">
        <v>136</v>
      </c>
      <c r="G65" s="57">
        <v>680</v>
      </c>
      <c r="H65" s="57">
        <v>272</v>
      </c>
      <c r="I65" s="57">
        <v>136</v>
      </c>
      <c r="J65" s="57">
        <v>272</v>
      </c>
      <c r="K65" s="57">
        <v>136</v>
      </c>
      <c r="L65" s="57">
        <v>1360</v>
      </c>
      <c r="M65" s="57">
        <v>272</v>
      </c>
      <c r="N65" s="57">
        <v>136</v>
      </c>
      <c r="O65" s="57">
        <f t="shared" si="0"/>
        <v>5</v>
      </c>
      <c r="P65" s="57">
        <f t="shared" si="1"/>
        <v>5</v>
      </c>
    </row>
    <row r="66" spans="1:16">
      <c r="A66" s="57" t="s">
        <v>152</v>
      </c>
      <c r="B66" s="57">
        <v>65</v>
      </c>
      <c r="C66" s="57">
        <v>138</v>
      </c>
      <c r="D66" s="57">
        <v>138</v>
      </c>
      <c r="E66" s="57">
        <v>138</v>
      </c>
      <c r="F66" s="57">
        <v>138</v>
      </c>
      <c r="G66" s="57">
        <v>690</v>
      </c>
      <c r="H66" s="57">
        <v>276</v>
      </c>
      <c r="I66" s="57">
        <v>138</v>
      </c>
      <c r="J66" s="57">
        <v>276</v>
      </c>
      <c r="K66" s="57">
        <v>138</v>
      </c>
      <c r="L66" s="57">
        <v>1380</v>
      </c>
      <c r="M66" s="57">
        <v>276</v>
      </c>
      <c r="N66" s="57">
        <v>138</v>
      </c>
      <c r="O66" s="57">
        <f t="shared" si="0"/>
        <v>5</v>
      </c>
      <c r="P66" s="57">
        <f t="shared" si="1"/>
        <v>5</v>
      </c>
    </row>
    <row r="67" spans="1:16">
      <c r="A67" s="57" t="s">
        <v>152</v>
      </c>
      <c r="B67" s="57">
        <v>66</v>
      </c>
      <c r="C67" s="57">
        <v>140</v>
      </c>
      <c r="D67" s="57">
        <v>140</v>
      </c>
      <c r="E67" s="57">
        <v>140</v>
      </c>
      <c r="F67" s="57">
        <v>140</v>
      </c>
      <c r="G67" s="57">
        <v>700</v>
      </c>
      <c r="H67" s="57">
        <v>280</v>
      </c>
      <c r="I67" s="57">
        <v>140</v>
      </c>
      <c r="J67" s="57">
        <v>280</v>
      </c>
      <c r="K67" s="57">
        <v>140</v>
      </c>
      <c r="L67" s="57">
        <v>1400</v>
      </c>
      <c r="M67" s="57">
        <v>280</v>
      </c>
      <c r="N67" s="57">
        <v>140</v>
      </c>
      <c r="O67" s="57">
        <f t="shared" ref="O67:O101" si="2">G67/(H67-I67)</f>
        <v>5</v>
      </c>
      <c r="P67" s="57">
        <f t="shared" ref="P67:P101" si="3">G67/(J67-K67)</f>
        <v>5</v>
      </c>
    </row>
    <row r="68" spans="1:16">
      <c r="A68" s="57" t="s">
        <v>152</v>
      </c>
      <c r="B68" s="57">
        <v>67</v>
      </c>
      <c r="C68" s="57">
        <v>142</v>
      </c>
      <c r="D68" s="57">
        <v>142</v>
      </c>
      <c r="E68" s="57">
        <v>142</v>
      </c>
      <c r="F68" s="57">
        <v>142</v>
      </c>
      <c r="G68" s="57">
        <v>710</v>
      </c>
      <c r="H68" s="57">
        <v>284</v>
      </c>
      <c r="I68" s="57">
        <v>142</v>
      </c>
      <c r="J68" s="57">
        <v>284</v>
      </c>
      <c r="K68" s="57">
        <v>142</v>
      </c>
      <c r="L68" s="57">
        <v>1420</v>
      </c>
      <c r="M68" s="57">
        <v>284</v>
      </c>
      <c r="N68" s="57">
        <v>142</v>
      </c>
      <c r="O68" s="57">
        <f t="shared" si="2"/>
        <v>5</v>
      </c>
      <c r="P68" s="57">
        <f t="shared" si="3"/>
        <v>5</v>
      </c>
    </row>
    <row r="69" spans="1:16">
      <c r="A69" s="57" t="s">
        <v>152</v>
      </c>
      <c r="B69" s="57">
        <v>68</v>
      </c>
      <c r="C69" s="57">
        <v>144</v>
      </c>
      <c r="D69" s="57">
        <v>144</v>
      </c>
      <c r="E69" s="57">
        <v>144</v>
      </c>
      <c r="F69" s="57">
        <v>144</v>
      </c>
      <c r="G69" s="57">
        <v>720</v>
      </c>
      <c r="H69" s="57">
        <v>288</v>
      </c>
      <c r="I69" s="57">
        <v>144</v>
      </c>
      <c r="J69" s="57">
        <v>288</v>
      </c>
      <c r="K69" s="57">
        <v>144</v>
      </c>
      <c r="L69" s="57">
        <v>1440</v>
      </c>
      <c r="M69" s="57">
        <v>288</v>
      </c>
      <c r="N69" s="57">
        <v>144</v>
      </c>
      <c r="O69" s="57">
        <f t="shared" si="2"/>
        <v>5</v>
      </c>
      <c r="P69" s="57">
        <f t="shared" si="3"/>
        <v>5</v>
      </c>
    </row>
    <row r="70" spans="1:16">
      <c r="A70" s="57" t="s">
        <v>152</v>
      </c>
      <c r="B70" s="57">
        <v>69</v>
      </c>
      <c r="C70" s="57">
        <v>146</v>
      </c>
      <c r="D70" s="57">
        <v>146</v>
      </c>
      <c r="E70" s="57">
        <v>146</v>
      </c>
      <c r="F70" s="57">
        <v>146</v>
      </c>
      <c r="G70" s="57">
        <v>730</v>
      </c>
      <c r="H70" s="57">
        <v>292</v>
      </c>
      <c r="I70" s="57">
        <v>146</v>
      </c>
      <c r="J70" s="57">
        <v>292</v>
      </c>
      <c r="K70" s="57">
        <v>146</v>
      </c>
      <c r="L70" s="57">
        <v>1460</v>
      </c>
      <c r="M70" s="57">
        <v>292</v>
      </c>
      <c r="N70" s="57">
        <v>146</v>
      </c>
      <c r="O70" s="57">
        <f t="shared" si="2"/>
        <v>5</v>
      </c>
      <c r="P70" s="57">
        <f t="shared" si="3"/>
        <v>5</v>
      </c>
    </row>
    <row r="71" spans="1:16">
      <c r="A71" s="57" t="s">
        <v>152</v>
      </c>
      <c r="B71" s="57">
        <v>70</v>
      </c>
      <c r="C71" s="57">
        <v>148</v>
      </c>
      <c r="D71" s="57">
        <v>148</v>
      </c>
      <c r="E71" s="57">
        <v>148</v>
      </c>
      <c r="F71" s="57">
        <v>148</v>
      </c>
      <c r="G71" s="57">
        <v>740</v>
      </c>
      <c r="H71" s="57">
        <v>296</v>
      </c>
      <c r="I71" s="57">
        <v>148</v>
      </c>
      <c r="J71" s="57">
        <v>296</v>
      </c>
      <c r="K71" s="57">
        <v>148</v>
      </c>
      <c r="L71" s="57">
        <v>1480</v>
      </c>
      <c r="M71" s="57">
        <v>296</v>
      </c>
      <c r="N71" s="57">
        <v>148</v>
      </c>
      <c r="O71" s="57">
        <f t="shared" si="2"/>
        <v>5</v>
      </c>
      <c r="P71" s="57">
        <f t="shared" si="3"/>
        <v>5</v>
      </c>
    </row>
    <row r="72" spans="1:16">
      <c r="A72" s="57" t="s">
        <v>152</v>
      </c>
      <c r="B72" s="57">
        <v>71</v>
      </c>
      <c r="C72" s="57">
        <v>150</v>
      </c>
      <c r="D72" s="57">
        <v>150</v>
      </c>
      <c r="E72" s="57">
        <v>150</v>
      </c>
      <c r="F72" s="57">
        <v>150</v>
      </c>
      <c r="G72" s="57">
        <v>750</v>
      </c>
      <c r="H72" s="57">
        <v>300</v>
      </c>
      <c r="I72" s="57">
        <v>150</v>
      </c>
      <c r="J72" s="57">
        <v>300</v>
      </c>
      <c r="K72" s="57">
        <v>150</v>
      </c>
      <c r="L72" s="57">
        <v>1500</v>
      </c>
      <c r="M72" s="57">
        <v>300</v>
      </c>
      <c r="N72" s="57">
        <v>150</v>
      </c>
      <c r="O72" s="57">
        <f t="shared" si="2"/>
        <v>5</v>
      </c>
      <c r="P72" s="57">
        <f t="shared" si="3"/>
        <v>5</v>
      </c>
    </row>
    <row r="73" spans="1:16">
      <c r="A73" s="57" t="s">
        <v>152</v>
      </c>
      <c r="B73" s="57">
        <v>72</v>
      </c>
      <c r="C73" s="57">
        <v>152</v>
      </c>
      <c r="D73" s="57">
        <v>152</v>
      </c>
      <c r="E73" s="57">
        <v>152</v>
      </c>
      <c r="F73" s="57">
        <v>152</v>
      </c>
      <c r="G73" s="57">
        <v>760</v>
      </c>
      <c r="H73" s="57">
        <v>304</v>
      </c>
      <c r="I73" s="57">
        <v>152</v>
      </c>
      <c r="J73" s="57">
        <v>304</v>
      </c>
      <c r="K73" s="57">
        <v>152</v>
      </c>
      <c r="L73" s="57">
        <v>1520</v>
      </c>
      <c r="M73" s="57">
        <v>304</v>
      </c>
      <c r="N73" s="57">
        <v>152</v>
      </c>
      <c r="O73" s="57">
        <f t="shared" si="2"/>
        <v>5</v>
      </c>
      <c r="P73" s="57">
        <f t="shared" si="3"/>
        <v>5</v>
      </c>
    </row>
    <row r="74" spans="1:16">
      <c r="A74" s="57" t="s">
        <v>152</v>
      </c>
      <c r="B74" s="57">
        <v>73</v>
      </c>
      <c r="C74" s="57">
        <v>154</v>
      </c>
      <c r="D74" s="57">
        <v>154</v>
      </c>
      <c r="E74" s="57">
        <v>154</v>
      </c>
      <c r="F74" s="57">
        <v>154</v>
      </c>
      <c r="G74" s="57">
        <v>770</v>
      </c>
      <c r="H74" s="57">
        <v>308</v>
      </c>
      <c r="I74" s="57">
        <v>154</v>
      </c>
      <c r="J74" s="57">
        <v>308</v>
      </c>
      <c r="K74" s="57">
        <v>154</v>
      </c>
      <c r="L74" s="57">
        <v>1540</v>
      </c>
      <c r="M74" s="57">
        <v>308</v>
      </c>
      <c r="N74" s="57">
        <v>154</v>
      </c>
      <c r="O74" s="57">
        <f t="shared" si="2"/>
        <v>5</v>
      </c>
      <c r="P74" s="57">
        <f t="shared" si="3"/>
        <v>5</v>
      </c>
    </row>
    <row r="75" spans="1:16">
      <c r="A75" s="57" t="s">
        <v>152</v>
      </c>
      <c r="B75" s="57">
        <v>74</v>
      </c>
      <c r="C75" s="57">
        <v>156</v>
      </c>
      <c r="D75" s="57">
        <v>156</v>
      </c>
      <c r="E75" s="57">
        <v>156</v>
      </c>
      <c r="F75" s="57">
        <v>156</v>
      </c>
      <c r="G75" s="57">
        <v>780</v>
      </c>
      <c r="H75" s="57">
        <v>312</v>
      </c>
      <c r="I75" s="57">
        <v>156</v>
      </c>
      <c r="J75" s="57">
        <v>312</v>
      </c>
      <c r="K75" s="57">
        <v>156</v>
      </c>
      <c r="L75" s="57">
        <v>1560</v>
      </c>
      <c r="M75" s="57">
        <v>312</v>
      </c>
      <c r="N75" s="57">
        <v>156</v>
      </c>
      <c r="O75" s="57">
        <f t="shared" si="2"/>
        <v>5</v>
      </c>
      <c r="P75" s="57">
        <f t="shared" si="3"/>
        <v>5</v>
      </c>
    </row>
    <row r="76" spans="1:16">
      <c r="A76" s="57" t="s">
        <v>152</v>
      </c>
      <c r="B76" s="57">
        <v>75</v>
      </c>
      <c r="C76" s="57">
        <v>158</v>
      </c>
      <c r="D76" s="57">
        <v>158</v>
      </c>
      <c r="E76" s="57">
        <v>158</v>
      </c>
      <c r="F76" s="57">
        <v>158</v>
      </c>
      <c r="G76" s="57">
        <v>790</v>
      </c>
      <c r="H76" s="57">
        <v>316</v>
      </c>
      <c r="I76" s="57">
        <v>158</v>
      </c>
      <c r="J76" s="57">
        <v>316</v>
      </c>
      <c r="K76" s="57">
        <v>158</v>
      </c>
      <c r="L76" s="57">
        <v>1580</v>
      </c>
      <c r="M76" s="57">
        <v>316</v>
      </c>
      <c r="N76" s="57">
        <v>158</v>
      </c>
      <c r="O76" s="57">
        <f t="shared" si="2"/>
        <v>5</v>
      </c>
      <c r="P76" s="57">
        <f t="shared" si="3"/>
        <v>5</v>
      </c>
    </row>
    <row r="77" spans="1:16">
      <c r="A77" s="57" t="s">
        <v>152</v>
      </c>
      <c r="B77" s="57">
        <v>76</v>
      </c>
      <c r="C77" s="57">
        <v>160</v>
      </c>
      <c r="D77" s="57">
        <v>160</v>
      </c>
      <c r="E77" s="57">
        <v>160</v>
      </c>
      <c r="F77" s="57">
        <v>160</v>
      </c>
      <c r="G77" s="57">
        <v>800</v>
      </c>
      <c r="H77" s="57">
        <v>320</v>
      </c>
      <c r="I77" s="57">
        <v>160</v>
      </c>
      <c r="J77" s="57">
        <v>320</v>
      </c>
      <c r="K77" s="57">
        <v>160</v>
      </c>
      <c r="L77" s="57">
        <v>1600</v>
      </c>
      <c r="M77" s="57">
        <v>320</v>
      </c>
      <c r="N77" s="57">
        <v>160</v>
      </c>
      <c r="O77" s="57">
        <f t="shared" si="2"/>
        <v>5</v>
      </c>
      <c r="P77" s="57">
        <f t="shared" si="3"/>
        <v>5</v>
      </c>
    </row>
    <row r="78" spans="1:16">
      <c r="A78" s="57" t="s">
        <v>152</v>
      </c>
      <c r="B78" s="57">
        <v>77</v>
      </c>
      <c r="C78" s="57">
        <v>162</v>
      </c>
      <c r="D78" s="57">
        <v>162</v>
      </c>
      <c r="E78" s="57">
        <v>162</v>
      </c>
      <c r="F78" s="57">
        <v>162</v>
      </c>
      <c r="G78" s="57">
        <v>810</v>
      </c>
      <c r="H78" s="57">
        <v>324</v>
      </c>
      <c r="I78" s="57">
        <v>162</v>
      </c>
      <c r="J78" s="57">
        <v>324</v>
      </c>
      <c r="K78" s="57">
        <v>162</v>
      </c>
      <c r="L78" s="57">
        <v>1620</v>
      </c>
      <c r="M78" s="57">
        <v>324</v>
      </c>
      <c r="N78" s="57">
        <v>162</v>
      </c>
      <c r="O78" s="57">
        <f t="shared" si="2"/>
        <v>5</v>
      </c>
      <c r="P78" s="57">
        <f t="shared" si="3"/>
        <v>5</v>
      </c>
    </row>
    <row r="79" spans="1:16">
      <c r="A79" s="57" t="s">
        <v>152</v>
      </c>
      <c r="B79" s="57">
        <v>78</v>
      </c>
      <c r="C79" s="57">
        <v>164</v>
      </c>
      <c r="D79" s="57">
        <v>164</v>
      </c>
      <c r="E79" s="57">
        <v>164</v>
      </c>
      <c r="F79" s="57">
        <v>164</v>
      </c>
      <c r="G79" s="57">
        <v>820</v>
      </c>
      <c r="H79" s="57">
        <v>328</v>
      </c>
      <c r="I79" s="57">
        <v>164</v>
      </c>
      <c r="J79" s="57">
        <v>328</v>
      </c>
      <c r="K79" s="57">
        <v>164</v>
      </c>
      <c r="L79" s="57">
        <v>1640</v>
      </c>
      <c r="M79" s="57">
        <v>328</v>
      </c>
      <c r="N79" s="57">
        <v>164</v>
      </c>
      <c r="O79" s="57">
        <f t="shared" si="2"/>
        <v>5</v>
      </c>
      <c r="P79" s="57">
        <f t="shared" si="3"/>
        <v>5</v>
      </c>
    </row>
    <row r="80" spans="1:16">
      <c r="A80" s="57" t="s">
        <v>152</v>
      </c>
      <c r="B80" s="57">
        <v>79</v>
      </c>
      <c r="C80" s="57">
        <v>166</v>
      </c>
      <c r="D80" s="57">
        <v>166</v>
      </c>
      <c r="E80" s="57">
        <v>166</v>
      </c>
      <c r="F80" s="57">
        <v>166</v>
      </c>
      <c r="G80" s="57">
        <v>830</v>
      </c>
      <c r="H80" s="57">
        <v>332</v>
      </c>
      <c r="I80" s="57">
        <v>166</v>
      </c>
      <c r="J80" s="57">
        <v>332</v>
      </c>
      <c r="K80" s="57">
        <v>166</v>
      </c>
      <c r="L80" s="57">
        <v>1660</v>
      </c>
      <c r="M80" s="57">
        <v>332</v>
      </c>
      <c r="N80" s="57">
        <v>166</v>
      </c>
      <c r="O80" s="57">
        <f t="shared" si="2"/>
        <v>5</v>
      </c>
      <c r="P80" s="57">
        <f t="shared" si="3"/>
        <v>5</v>
      </c>
    </row>
    <row r="81" spans="1:16">
      <c r="A81" s="57" t="s">
        <v>152</v>
      </c>
      <c r="B81" s="57">
        <v>80</v>
      </c>
      <c r="C81" s="57">
        <v>168</v>
      </c>
      <c r="D81" s="57">
        <v>168</v>
      </c>
      <c r="E81" s="57">
        <v>168</v>
      </c>
      <c r="F81" s="57">
        <v>168</v>
      </c>
      <c r="G81" s="57">
        <v>840</v>
      </c>
      <c r="H81" s="57">
        <v>336</v>
      </c>
      <c r="I81" s="57">
        <v>168</v>
      </c>
      <c r="J81" s="57">
        <v>336</v>
      </c>
      <c r="K81" s="57">
        <v>168</v>
      </c>
      <c r="L81" s="57">
        <v>1680</v>
      </c>
      <c r="M81" s="57">
        <v>336</v>
      </c>
      <c r="N81" s="57">
        <v>168</v>
      </c>
      <c r="O81" s="57">
        <f t="shared" si="2"/>
        <v>5</v>
      </c>
      <c r="P81" s="57">
        <f t="shared" si="3"/>
        <v>5</v>
      </c>
    </row>
    <row r="82" spans="1:16">
      <c r="A82" s="57" t="s">
        <v>152</v>
      </c>
      <c r="B82" s="57">
        <v>81</v>
      </c>
      <c r="C82" s="57">
        <v>170</v>
      </c>
      <c r="D82" s="57">
        <v>170</v>
      </c>
      <c r="E82" s="57">
        <v>170</v>
      </c>
      <c r="F82" s="57">
        <v>170</v>
      </c>
      <c r="G82" s="57">
        <v>850</v>
      </c>
      <c r="H82" s="57">
        <v>340</v>
      </c>
      <c r="I82" s="57">
        <v>170</v>
      </c>
      <c r="J82" s="57">
        <v>340</v>
      </c>
      <c r="K82" s="57">
        <v>170</v>
      </c>
      <c r="L82" s="57">
        <v>1700</v>
      </c>
      <c r="M82" s="57">
        <v>340</v>
      </c>
      <c r="N82" s="57">
        <v>170</v>
      </c>
      <c r="O82" s="57">
        <f t="shared" si="2"/>
        <v>5</v>
      </c>
      <c r="P82" s="57">
        <f t="shared" si="3"/>
        <v>5</v>
      </c>
    </row>
    <row r="83" spans="1:16">
      <c r="A83" s="57" t="s">
        <v>152</v>
      </c>
      <c r="B83" s="57">
        <v>82</v>
      </c>
      <c r="C83" s="57">
        <v>172</v>
      </c>
      <c r="D83" s="57">
        <v>172</v>
      </c>
      <c r="E83" s="57">
        <v>172</v>
      </c>
      <c r="F83" s="57">
        <v>172</v>
      </c>
      <c r="G83" s="57">
        <v>860</v>
      </c>
      <c r="H83" s="57">
        <v>344</v>
      </c>
      <c r="I83" s="57">
        <v>172</v>
      </c>
      <c r="J83" s="57">
        <v>344</v>
      </c>
      <c r="K83" s="57">
        <v>172</v>
      </c>
      <c r="L83" s="57">
        <v>1720</v>
      </c>
      <c r="M83" s="57">
        <v>344</v>
      </c>
      <c r="N83" s="57">
        <v>172</v>
      </c>
      <c r="O83" s="57">
        <f t="shared" si="2"/>
        <v>5</v>
      </c>
      <c r="P83" s="57">
        <f t="shared" si="3"/>
        <v>5</v>
      </c>
    </row>
    <row r="84" spans="1:16">
      <c r="A84" s="57" t="s">
        <v>152</v>
      </c>
      <c r="B84" s="57">
        <v>83</v>
      </c>
      <c r="C84" s="57">
        <v>174</v>
      </c>
      <c r="D84" s="57">
        <v>174</v>
      </c>
      <c r="E84" s="57">
        <v>174</v>
      </c>
      <c r="F84" s="57">
        <v>174</v>
      </c>
      <c r="G84" s="57">
        <v>870</v>
      </c>
      <c r="H84" s="57">
        <v>348</v>
      </c>
      <c r="I84" s="57">
        <v>174</v>
      </c>
      <c r="J84" s="57">
        <v>348</v>
      </c>
      <c r="K84" s="57">
        <v>174</v>
      </c>
      <c r="L84" s="57">
        <v>1740</v>
      </c>
      <c r="M84" s="57">
        <v>348</v>
      </c>
      <c r="N84" s="57">
        <v>174</v>
      </c>
      <c r="O84" s="57">
        <f t="shared" si="2"/>
        <v>5</v>
      </c>
      <c r="P84" s="57">
        <f t="shared" si="3"/>
        <v>5</v>
      </c>
    </row>
    <row r="85" spans="1:16">
      <c r="A85" s="57" t="s">
        <v>152</v>
      </c>
      <c r="B85" s="57">
        <v>84</v>
      </c>
      <c r="C85" s="57">
        <v>176</v>
      </c>
      <c r="D85" s="57">
        <v>176</v>
      </c>
      <c r="E85" s="57">
        <v>176</v>
      </c>
      <c r="F85" s="57">
        <v>176</v>
      </c>
      <c r="G85" s="57">
        <v>880</v>
      </c>
      <c r="H85" s="57">
        <v>352</v>
      </c>
      <c r="I85" s="57">
        <v>176</v>
      </c>
      <c r="J85" s="57">
        <v>352</v>
      </c>
      <c r="K85" s="57">
        <v>176</v>
      </c>
      <c r="L85" s="57">
        <v>1760</v>
      </c>
      <c r="M85" s="57">
        <v>352</v>
      </c>
      <c r="N85" s="57">
        <v>176</v>
      </c>
      <c r="O85" s="57">
        <f t="shared" si="2"/>
        <v>5</v>
      </c>
      <c r="P85" s="57">
        <f t="shared" si="3"/>
        <v>5</v>
      </c>
    </row>
    <row r="86" spans="1:16">
      <c r="A86" s="57" t="s">
        <v>152</v>
      </c>
      <c r="B86" s="57">
        <v>85</v>
      </c>
      <c r="C86" s="57">
        <v>178</v>
      </c>
      <c r="D86" s="57">
        <v>178</v>
      </c>
      <c r="E86" s="57">
        <v>178</v>
      </c>
      <c r="F86" s="57">
        <v>178</v>
      </c>
      <c r="G86" s="57">
        <v>890</v>
      </c>
      <c r="H86" s="57">
        <v>356</v>
      </c>
      <c r="I86" s="57">
        <v>178</v>
      </c>
      <c r="J86" s="57">
        <v>356</v>
      </c>
      <c r="K86" s="57">
        <v>178</v>
      </c>
      <c r="L86" s="57">
        <v>1780</v>
      </c>
      <c r="M86" s="57">
        <v>356</v>
      </c>
      <c r="N86" s="57">
        <v>178</v>
      </c>
      <c r="O86" s="57">
        <f t="shared" si="2"/>
        <v>5</v>
      </c>
      <c r="P86" s="57">
        <f t="shared" si="3"/>
        <v>5</v>
      </c>
    </row>
    <row r="87" spans="1:16">
      <c r="A87" s="57" t="s">
        <v>152</v>
      </c>
      <c r="B87" s="57">
        <v>86</v>
      </c>
      <c r="C87" s="57">
        <v>180</v>
      </c>
      <c r="D87" s="57">
        <v>180</v>
      </c>
      <c r="E87" s="57">
        <v>180</v>
      </c>
      <c r="F87" s="57">
        <v>180</v>
      </c>
      <c r="G87" s="57">
        <v>900</v>
      </c>
      <c r="H87" s="57">
        <v>360</v>
      </c>
      <c r="I87" s="57">
        <v>180</v>
      </c>
      <c r="J87" s="57">
        <v>360</v>
      </c>
      <c r="K87" s="57">
        <v>180</v>
      </c>
      <c r="L87" s="57">
        <v>1800</v>
      </c>
      <c r="M87" s="57">
        <v>360</v>
      </c>
      <c r="N87" s="57">
        <v>180</v>
      </c>
      <c r="O87" s="57">
        <f t="shared" si="2"/>
        <v>5</v>
      </c>
      <c r="P87" s="57">
        <f t="shared" si="3"/>
        <v>5</v>
      </c>
    </row>
    <row r="88" spans="1:16">
      <c r="A88" s="57" t="s">
        <v>152</v>
      </c>
      <c r="B88" s="57">
        <v>87</v>
      </c>
      <c r="C88" s="57">
        <v>182</v>
      </c>
      <c r="D88" s="57">
        <v>182</v>
      </c>
      <c r="E88" s="57">
        <v>182</v>
      </c>
      <c r="F88" s="57">
        <v>182</v>
      </c>
      <c r="G88" s="57">
        <v>910</v>
      </c>
      <c r="H88" s="57">
        <v>364</v>
      </c>
      <c r="I88" s="57">
        <v>182</v>
      </c>
      <c r="J88" s="57">
        <v>364</v>
      </c>
      <c r="K88" s="57">
        <v>182</v>
      </c>
      <c r="L88" s="57">
        <v>1820</v>
      </c>
      <c r="M88" s="57">
        <v>364</v>
      </c>
      <c r="N88" s="57">
        <v>182</v>
      </c>
      <c r="O88" s="57">
        <f t="shared" si="2"/>
        <v>5</v>
      </c>
      <c r="P88" s="57">
        <f t="shared" si="3"/>
        <v>5</v>
      </c>
    </row>
    <row r="89" spans="1:16">
      <c r="A89" s="57" t="s">
        <v>152</v>
      </c>
      <c r="B89" s="57">
        <v>88</v>
      </c>
      <c r="C89" s="57">
        <v>184</v>
      </c>
      <c r="D89" s="57">
        <v>184</v>
      </c>
      <c r="E89" s="57">
        <v>184</v>
      </c>
      <c r="F89" s="57">
        <v>184</v>
      </c>
      <c r="G89" s="57">
        <v>920</v>
      </c>
      <c r="H89" s="57">
        <v>368</v>
      </c>
      <c r="I89" s="57">
        <v>184</v>
      </c>
      <c r="J89" s="57">
        <v>368</v>
      </c>
      <c r="K89" s="57">
        <v>184</v>
      </c>
      <c r="L89" s="57">
        <v>1840</v>
      </c>
      <c r="M89" s="57">
        <v>368</v>
      </c>
      <c r="N89" s="57">
        <v>184</v>
      </c>
      <c r="O89" s="57">
        <f t="shared" si="2"/>
        <v>5</v>
      </c>
      <c r="P89" s="57">
        <f t="shared" si="3"/>
        <v>5</v>
      </c>
    </row>
    <row r="90" spans="1:16">
      <c r="A90" s="57" t="s">
        <v>152</v>
      </c>
      <c r="B90" s="57">
        <v>89</v>
      </c>
      <c r="C90" s="57">
        <v>186</v>
      </c>
      <c r="D90" s="57">
        <v>186</v>
      </c>
      <c r="E90" s="57">
        <v>186</v>
      </c>
      <c r="F90" s="57">
        <v>186</v>
      </c>
      <c r="G90" s="57">
        <v>930</v>
      </c>
      <c r="H90" s="57">
        <v>372</v>
      </c>
      <c r="I90" s="57">
        <v>186</v>
      </c>
      <c r="J90" s="57">
        <v>372</v>
      </c>
      <c r="K90" s="57">
        <v>186</v>
      </c>
      <c r="L90" s="57">
        <v>1860</v>
      </c>
      <c r="M90" s="57">
        <v>372</v>
      </c>
      <c r="N90" s="57">
        <v>186</v>
      </c>
      <c r="O90" s="57">
        <f t="shared" si="2"/>
        <v>5</v>
      </c>
      <c r="P90" s="57">
        <f t="shared" si="3"/>
        <v>5</v>
      </c>
    </row>
    <row r="91" spans="1:16">
      <c r="A91" s="57" t="s">
        <v>152</v>
      </c>
      <c r="B91" s="57">
        <v>90</v>
      </c>
      <c r="C91" s="57">
        <v>188</v>
      </c>
      <c r="D91" s="57">
        <v>188</v>
      </c>
      <c r="E91" s="57">
        <v>188</v>
      </c>
      <c r="F91" s="57">
        <v>188</v>
      </c>
      <c r="G91" s="57">
        <v>940</v>
      </c>
      <c r="H91" s="57">
        <v>376</v>
      </c>
      <c r="I91" s="57">
        <v>188</v>
      </c>
      <c r="J91" s="57">
        <v>376</v>
      </c>
      <c r="K91" s="57">
        <v>188</v>
      </c>
      <c r="L91" s="57">
        <v>1880</v>
      </c>
      <c r="M91" s="57">
        <v>376</v>
      </c>
      <c r="N91" s="57">
        <v>188</v>
      </c>
      <c r="O91" s="57">
        <f t="shared" si="2"/>
        <v>5</v>
      </c>
      <c r="P91" s="57">
        <f t="shared" si="3"/>
        <v>5</v>
      </c>
    </row>
    <row r="92" spans="1:16">
      <c r="A92" s="57" t="s">
        <v>152</v>
      </c>
      <c r="B92" s="57">
        <v>91</v>
      </c>
      <c r="C92" s="57">
        <v>190</v>
      </c>
      <c r="D92" s="57">
        <v>190</v>
      </c>
      <c r="E92" s="57">
        <v>190</v>
      </c>
      <c r="F92" s="57">
        <v>190</v>
      </c>
      <c r="G92" s="57">
        <v>950</v>
      </c>
      <c r="H92" s="57">
        <v>380</v>
      </c>
      <c r="I92" s="57">
        <v>190</v>
      </c>
      <c r="J92" s="57">
        <v>380</v>
      </c>
      <c r="K92" s="57">
        <v>190</v>
      </c>
      <c r="L92" s="57">
        <v>1900</v>
      </c>
      <c r="M92" s="57">
        <v>380</v>
      </c>
      <c r="N92" s="57">
        <v>190</v>
      </c>
      <c r="O92" s="57">
        <f t="shared" si="2"/>
        <v>5</v>
      </c>
      <c r="P92" s="57">
        <f t="shared" si="3"/>
        <v>5</v>
      </c>
    </row>
    <row r="93" spans="1:16">
      <c r="A93" s="57" t="s">
        <v>152</v>
      </c>
      <c r="B93" s="57">
        <v>92</v>
      </c>
      <c r="C93" s="57">
        <v>192</v>
      </c>
      <c r="D93" s="57">
        <v>192</v>
      </c>
      <c r="E93" s="57">
        <v>192</v>
      </c>
      <c r="F93" s="57">
        <v>192</v>
      </c>
      <c r="G93" s="57">
        <v>960</v>
      </c>
      <c r="H93" s="57">
        <v>384</v>
      </c>
      <c r="I93" s="57">
        <v>192</v>
      </c>
      <c r="J93" s="57">
        <v>384</v>
      </c>
      <c r="K93" s="57">
        <v>192</v>
      </c>
      <c r="L93" s="57">
        <v>1920</v>
      </c>
      <c r="M93" s="57">
        <v>384</v>
      </c>
      <c r="N93" s="57">
        <v>192</v>
      </c>
      <c r="O93" s="57">
        <f t="shared" si="2"/>
        <v>5</v>
      </c>
      <c r="P93" s="57">
        <f t="shared" si="3"/>
        <v>5</v>
      </c>
    </row>
    <row r="94" spans="1:16">
      <c r="A94" s="57" t="s">
        <v>152</v>
      </c>
      <c r="B94" s="57">
        <v>93</v>
      </c>
      <c r="C94" s="57">
        <v>194</v>
      </c>
      <c r="D94" s="57">
        <v>194</v>
      </c>
      <c r="E94" s="57">
        <v>194</v>
      </c>
      <c r="F94" s="57">
        <v>194</v>
      </c>
      <c r="G94" s="57">
        <v>970</v>
      </c>
      <c r="H94" s="57">
        <v>388</v>
      </c>
      <c r="I94" s="57">
        <v>194</v>
      </c>
      <c r="J94" s="57">
        <v>388</v>
      </c>
      <c r="K94" s="57">
        <v>194</v>
      </c>
      <c r="L94" s="57">
        <v>1940</v>
      </c>
      <c r="M94" s="57">
        <v>388</v>
      </c>
      <c r="N94" s="57">
        <v>194</v>
      </c>
      <c r="O94" s="57">
        <f t="shared" si="2"/>
        <v>5</v>
      </c>
      <c r="P94" s="57">
        <f t="shared" si="3"/>
        <v>5</v>
      </c>
    </row>
    <row r="95" spans="1:16">
      <c r="A95" s="57" t="s">
        <v>152</v>
      </c>
      <c r="B95" s="57">
        <v>94</v>
      </c>
      <c r="C95" s="57">
        <v>196</v>
      </c>
      <c r="D95" s="57">
        <v>196</v>
      </c>
      <c r="E95" s="57">
        <v>196</v>
      </c>
      <c r="F95" s="57">
        <v>196</v>
      </c>
      <c r="G95" s="57">
        <v>980</v>
      </c>
      <c r="H95" s="57">
        <v>392</v>
      </c>
      <c r="I95" s="57">
        <v>196</v>
      </c>
      <c r="J95" s="57">
        <v>392</v>
      </c>
      <c r="K95" s="57">
        <v>196</v>
      </c>
      <c r="L95" s="57">
        <v>1960</v>
      </c>
      <c r="M95" s="57">
        <v>392</v>
      </c>
      <c r="N95" s="57">
        <v>196</v>
      </c>
      <c r="O95" s="57">
        <f t="shared" si="2"/>
        <v>5</v>
      </c>
      <c r="P95" s="57">
        <f t="shared" si="3"/>
        <v>5</v>
      </c>
    </row>
    <row r="96" spans="1:16">
      <c r="A96" s="57" t="s">
        <v>152</v>
      </c>
      <c r="B96" s="57">
        <v>95</v>
      </c>
      <c r="C96" s="57">
        <v>198</v>
      </c>
      <c r="D96" s="57">
        <v>198</v>
      </c>
      <c r="E96" s="57">
        <v>198</v>
      </c>
      <c r="F96" s="57">
        <v>198</v>
      </c>
      <c r="G96" s="57">
        <v>990</v>
      </c>
      <c r="H96" s="57">
        <v>396</v>
      </c>
      <c r="I96" s="57">
        <v>198</v>
      </c>
      <c r="J96" s="57">
        <v>396</v>
      </c>
      <c r="K96" s="57">
        <v>198</v>
      </c>
      <c r="L96" s="57">
        <v>1980</v>
      </c>
      <c r="M96" s="57">
        <v>396</v>
      </c>
      <c r="N96" s="57">
        <v>198</v>
      </c>
      <c r="O96" s="57">
        <f t="shared" si="2"/>
        <v>5</v>
      </c>
      <c r="P96" s="57">
        <f t="shared" si="3"/>
        <v>5</v>
      </c>
    </row>
    <row r="97" spans="1:16">
      <c r="A97" s="57" t="s">
        <v>152</v>
      </c>
      <c r="B97" s="57">
        <v>96</v>
      </c>
      <c r="C97" s="57">
        <v>200</v>
      </c>
      <c r="D97" s="57">
        <v>200</v>
      </c>
      <c r="E97" s="57">
        <v>200</v>
      </c>
      <c r="F97" s="57">
        <v>200</v>
      </c>
      <c r="G97" s="57">
        <v>1000</v>
      </c>
      <c r="H97" s="57">
        <v>400</v>
      </c>
      <c r="I97" s="57">
        <v>200</v>
      </c>
      <c r="J97" s="57">
        <v>400</v>
      </c>
      <c r="K97" s="57">
        <v>200</v>
      </c>
      <c r="L97" s="57">
        <v>2000</v>
      </c>
      <c r="M97" s="57">
        <v>400</v>
      </c>
      <c r="N97" s="57">
        <v>200</v>
      </c>
      <c r="O97" s="57">
        <f t="shared" si="2"/>
        <v>5</v>
      </c>
      <c r="P97" s="57">
        <f t="shared" si="3"/>
        <v>5</v>
      </c>
    </row>
    <row r="98" spans="1:16">
      <c r="A98" s="57" t="s">
        <v>152</v>
      </c>
      <c r="B98" s="57">
        <v>97</v>
      </c>
      <c r="C98" s="57">
        <v>202</v>
      </c>
      <c r="D98" s="57">
        <v>202</v>
      </c>
      <c r="E98" s="57">
        <v>202</v>
      </c>
      <c r="F98" s="57">
        <v>202</v>
      </c>
      <c r="G98" s="57">
        <v>1010</v>
      </c>
      <c r="H98" s="57">
        <v>404</v>
      </c>
      <c r="I98" s="57">
        <v>202</v>
      </c>
      <c r="J98" s="57">
        <v>404</v>
      </c>
      <c r="K98" s="57">
        <v>202</v>
      </c>
      <c r="L98" s="57">
        <v>2020</v>
      </c>
      <c r="M98" s="57">
        <v>404</v>
      </c>
      <c r="N98" s="57">
        <v>202</v>
      </c>
      <c r="O98" s="57">
        <f t="shared" si="2"/>
        <v>5</v>
      </c>
      <c r="P98" s="57">
        <f t="shared" si="3"/>
        <v>5</v>
      </c>
    </row>
    <row r="99" spans="1:16">
      <c r="A99" s="57" t="s">
        <v>152</v>
      </c>
      <c r="B99" s="57">
        <v>98</v>
      </c>
      <c r="C99" s="57">
        <v>204</v>
      </c>
      <c r="D99" s="57">
        <v>204</v>
      </c>
      <c r="E99" s="57">
        <v>204</v>
      </c>
      <c r="F99" s="57">
        <v>204</v>
      </c>
      <c r="G99" s="57">
        <v>1020</v>
      </c>
      <c r="H99" s="57">
        <v>408</v>
      </c>
      <c r="I99" s="57">
        <v>204</v>
      </c>
      <c r="J99" s="57">
        <v>408</v>
      </c>
      <c r="K99" s="57">
        <v>204</v>
      </c>
      <c r="L99" s="57">
        <v>2040</v>
      </c>
      <c r="M99" s="57">
        <v>408</v>
      </c>
      <c r="N99" s="57">
        <v>204</v>
      </c>
      <c r="O99" s="57">
        <f t="shared" si="2"/>
        <v>5</v>
      </c>
      <c r="P99" s="57">
        <f t="shared" si="3"/>
        <v>5</v>
      </c>
    </row>
    <row r="100" spans="1:16">
      <c r="A100" s="57" t="s">
        <v>152</v>
      </c>
      <c r="B100" s="57">
        <v>99</v>
      </c>
      <c r="C100" s="57">
        <v>206</v>
      </c>
      <c r="D100" s="57">
        <v>206</v>
      </c>
      <c r="E100" s="57">
        <v>206</v>
      </c>
      <c r="F100" s="57">
        <v>206</v>
      </c>
      <c r="G100" s="57">
        <v>1030</v>
      </c>
      <c r="H100" s="57">
        <v>412</v>
      </c>
      <c r="I100" s="57">
        <v>206</v>
      </c>
      <c r="J100" s="57">
        <v>412</v>
      </c>
      <c r="K100" s="57">
        <v>206</v>
      </c>
      <c r="L100" s="57">
        <v>2060</v>
      </c>
      <c r="M100" s="57">
        <v>412</v>
      </c>
      <c r="N100" s="57">
        <v>206</v>
      </c>
      <c r="O100" s="57">
        <f t="shared" si="2"/>
        <v>5</v>
      </c>
      <c r="P100" s="57">
        <f t="shared" si="3"/>
        <v>5</v>
      </c>
    </row>
    <row r="101" spans="1:16">
      <c r="A101" s="57" t="s">
        <v>152</v>
      </c>
      <c r="B101" s="57">
        <v>100</v>
      </c>
      <c r="C101" s="57">
        <v>208</v>
      </c>
      <c r="D101" s="57">
        <v>208</v>
      </c>
      <c r="E101" s="57">
        <v>208</v>
      </c>
      <c r="F101" s="57">
        <v>208</v>
      </c>
      <c r="G101" s="57">
        <v>1040</v>
      </c>
      <c r="H101" s="57">
        <v>416</v>
      </c>
      <c r="I101" s="57">
        <v>208</v>
      </c>
      <c r="J101" s="57">
        <v>416</v>
      </c>
      <c r="K101" s="57">
        <v>208</v>
      </c>
      <c r="L101" s="57">
        <v>2080</v>
      </c>
      <c r="M101" s="57">
        <v>416</v>
      </c>
      <c r="N101" s="57">
        <v>208</v>
      </c>
      <c r="O101" s="57">
        <f t="shared" si="2"/>
        <v>5</v>
      </c>
      <c r="P101" s="57">
        <f t="shared" si="3"/>
        <v>5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  <legacyDrawing r:id="rId2"/>
  <controls>
    <control shapeId="6146" r:id="rId3" name="CommandButton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P101"/>
  <sheetViews>
    <sheetView topLeftCell="A31" workbookViewId="0">
      <selection activeCell="A51" sqref="A51:XFD51"/>
    </sheetView>
  </sheetViews>
  <sheetFormatPr defaultRowHeight="13.5"/>
  <cols>
    <col min="1" max="16384" width="9" style="57"/>
  </cols>
  <sheetData>
    <row r="1" spans="1:16">
      <c r="A1" s="57" t="s">
        <v>153</v>
      </c>
      <c r="B1" s="57" t="s">
        <v>154</v>
      </c>
      <c r="C1" s="57" t="s">
        <v>139</v>
      </c>
      <c r="D1" s="57" t="s">
        <v>140</v>
      </c>
      <c r="E1" s="57" t="s">
        <v>141</v>
      </c>
      <c r="F1" s="57" t="s">
        <v>142</v>
      </c>
      <c r="G1" s="57" t="s">
        <v>143</v>
      </c>
      <c r="H1" s="57" t="s">
        <v>144</v>
      </c>
      <c r="I1" s="57" t="s">
        <v>145</v>
      </c>
      <c r="J1" s="57" t="s">
        <v>146</v>
      </c>
      <c r="K1" s="57" t="s">
        <v>147</v>
      </c>
      <c r="L1" s="57" t="s">
        <v>148</v>
      </c>
      <c r="M1" s="57" t="s">
        <v>149</v>
      </c>
      <c r="N1" s="57" t="s">
        <v>150</v>
      </c>
    </row>
    <row r="2" spans="1:16">
      <c r="A2" s="57" t="s">
        <v>151</v>
      </c>
      <c r="B2" s="57">
        <v>1</v>
      </c>
      <c r="C2" s="57">
        <v>10</v>
      </c>
      <c r="D2" s="57">
        <v>10</v>
      </c>
      <c r="E2" s="57">
        <v>10</v>
      </c>
      <c r="F2" s="57">
        <v>10</v>
      </c>
      <c r="G2" s="57">
        <v>75</v>
      </c>
      <c r="H2" s="57">
        <v>25</v>
      </c>
      <c r="I2" s="57">
        <v>15</v>
      </c>
      <c r="J2" s="57">
        <v>10</v>
      </c>
      <c r="K2" s="57">
        <v>5</v>
      </c>
      <c r="L2" s="57">
        <v>100</v>
      </c>
      <c r="M2" s="57">
        <v>20</v>
      </c>
      <c r="N2" s="57">
        <v>10</v>
      </c>
      <c r="O2" s="57">
        <f>G2/(H2-I2)</f>
        <v>7.5</v>
      </c>
      <c r="P2" s="57">
        <f>G2/(J2-K2)</f>
        <v>15</v>
      </c>
    </row>
    <row r="3" spans="1:16">
      <c r="A3" s="57" t="s">
        <v>151</v>
      </c>
      <c r="B3" s="57">
        <v>2</v>
      </c>
      <c r="C3" s="57">
        <v>13</v>
      </c>
      <c r="D3" s="57">
        <v>13</v>
      </c>
      <c r="E3" s="57">
        <v>11</v>
      </c>
      <c r="F3" s="57">
        <v>11</v>
      </c>
      <c r="G3" s="57">
        <v>97</v>
      </c>
      <c r="H3" s="57">
        <v>31</v>
      </c>
      <c r="I3" s="57">
        <v>19</v>
      </c>
      <c r="J3" s="57">
        <v>10</v>
      </c>
      <c r="K3" s="57">
        <v>5</v>
      </c>
      <c r="L3" s="57">
        <v>110</v>
      </c>
      <c r="M3" s="57">
        <v>22</v>
      </c>
      <c r="N3" s="57">
        <v>11</v>
      </c>
      <c r="O3" s="57">
        <f t="shared" ref="O3:O66" si="0">G3/(H3-I3)</f>
        <v>8.0833333333333339</v>
      </c>
      <c r="P3" s="57">
        <f t="shared" ref="P3:P66" si="1">G3/(J3-K3)</f>
        <v>19.399999999999999</v>
      </c>
    </row>
    <row r="4" spans="1:16">
      <c r="A4" s="57" t="s">
        <v>151</v>
      </c>
      <c r="B4" s="57">
        <v>3</v>
      </c>
      <c r="C4" s="57">
        <v>16</v>
      </c>
      <c r="D4" s="57">
        <v>16</v>
      </c>
      <c r="E4" s="57">
        <v>12</v>
      </c>
      <c r="F4" s="57">
        <v>12</v>
      </c>
      <c r="G4" s="57">
        <v>120</v>
      </c>
      <c r="H4" s="57">
        <v>37</v>
      </c>
      <c r="I4" s="57">
        <v>24</v>
      </c>
      <c r="J4" s="57">
        <v>11</v>
      </c>
      <c r="K4" s="57">
        <v>6</v>
      </c>
      <c r="L4" s="57">
        <v>120</v>
      </c>
      <c r="M4" s="57">
        <v>24</v>
      </c>
      <c r="N4" s="57">
        <v>12</v>
      </c>
      <c r="O4" s="57">
        <f t="shared" si="0"/>
        <v>9.2307692307692299</v>
      </c>
      <c r="P4" s="57">
        <f t="shared" si="1"/>
        <v>24</v>
      </c>
    </row>
    <row r="5" spans="1:16">
      <c r="A5" s="57" t="s">
        <v>151</v>
      </c>
      <c r="B5" s="57">
        <v>4</v>
      </c>
      <c r="C5" s="57">
        <v>19</v>
      </c>
      <c r="D5" s="57">
        <v>19</v>
      </c>
      <c r="E5" s="57">
        <v>13</v>
      </c>
      <c r="F5" s="57">
        <v>13</v>
      </c>
      <c r="G5" s="57">
        <v>142</v>
      </c>
      <c r="H5" s="57">
        <v>43</v>
      </c>
      <c r="I5" s="57">
        <v>28</v>
      </c>
      <c r="J5" s="57">
        <v>11</v>
      </c>
      <c r="K5" s="57">
        <v>6</v>
      </c>
      <c r="L5" s="57">
        <v>130</v>
      </c>
      <c r="M5" s="57">
        <v>26</v>
      </c>
      <c r="N5" s="57">
        <v>13</v>
      </c>
      <c r="O5" s="57">
        <f t="shared" si="0"/>
        <v>9.4666666666666668</v>
      </c>
      <c r="P5" s="57">
        <f t="shared" si="1"/>
        <v>28.4</v>
      </c>
    </row>
    <row r="6" spans="1:16">
      <c r="A6" s="57" t="s">
        <v>151</v>
      </c>
      <c r="B6" s="57">
        <v>5</v>
      </c>
      <c r="C6" s="57">
        <v>22</v>
      </c>
      <c r="D6" s="57">
        <v>22</v>
      </c>
      <c r="E6" s="57">
        <v>14</v>
      </c>
      <c r="F6" s="57">
        <v>14</v>
      </c>
      <c r="G6" s="57">
        <v>165</v>
      </c>
      <c r="H6" s="57">
        <v>49</v>
      </c>
      <c r="I6" s="57">
        <v>33</v>
      </c>
      <c r="J6" s="57">
        <v>12</v>
      </c>
      <c r="K6" s="57">
        <v>7</v>
      </c>
      <c r="L6" s="57">
        <v>140</v>
      </c>
      <c r="M6" s="57">
        <v>28</v>
      </c>
      <c r="N6" s="57">
        <v>14</v>
      </c>
      <c r="O6" s="57">
        <f t="shared" si="0"/>
        <v>10.3125</v>
      </c>
      <c r="P6" s="57">
        <f t="shared" si="1"/>
        <v>33</v>
      </c>
    </row>
    <row r="7" spans="1:16">
      <c r="A7" s="57" t="s">
        <v>151</v>
      </c>
      <c r="B7" s="57">
        <v>6</v>
      </c>
      <c r="C7" s="57">
        <v>25</v>
      </c>
      <c r="D7" s="57">
        <v>25</v>
      </c>
      <c r="E7" s="57">
        <v>15</v>
      </c>
      <c r="F7" s="57">
        <v>15</v>
      </c>
      <c r="G7" s="57">
        <v>187</v>
      </c>
      <c r="H7" s="57">
        <v>55</v>
      </c>
      <c r="I7" s="57">
        <v>37</v>
      </c>
      <c r="J7" s="57">
        <v>12</v>
      </c>
      <c r="K7" s="57">
        <v>7</v>
      </c>
      <c r="L7" s="57">
        <v>150</v>
      </c>
      <c r="M7" s="57">
        <v>30</v>
      </c>
      <c r="N7" s="57">
        <v>15</v>
      </c>
      <c r="O7" s="57">
        <f t="shared" si="0"/>
        <v>10.388888888888889</v>
      </c>
      <c r="P7" s="57">
        <f t="shared" si="1"/>
        <v>37.4</v>
      </c>
    </row>
    <row r="8" spans="1:16">
      <c r="A8" s="57" t="s">
        <v>151</v>
      </c>
      <c r="B8" s="57">
        <v>7</v>
      </c>
      <c r="C8" s="57">
        <v>28</v>
      </c>
      <c r="D8" s="57">
        <v>28</v>
      </c>
      <c r="E8" s="57">
        <v>16</v>
      </c>
      <c r="F8" s="57">
        <v>16</v>
      </c>
      <c r="G8" s="57">
        <v>210</v>
      </c>
      <c r="H8" s="57">
        <v>61</v>
      </c>
      <c r="I8" s="57">
        <v>42</v>
      </c>
      <c r="J8" s="57">
        <v>13</v>
      </c>
      <c r="K8" s="57">
        <v>8</v>
      </c>
      <c r="L8" s="57">
        <v>160</v>
      </c>
      <c r="M8" s="57">
        <v>32</v>
      </c>
      <c r="N8" s="57">
        <v>16</v>
      </c>
      <c r="O8" s="57">
        <f t="shared" si="0"/>
        <v>11.052631578947368</v>
      </c>
      <c r="P8" s="57">
        <f t="shared" si="1"/>
        <v>42</v>
      </c>
    </row>
    <row r="9" spans="1:16">
      <c r="A9" s="57" t="s">
        <v>151</v>
      </c>
      <c r="B9" s="57">
        <v>8</v>
      </c>
      <c r="C9" s="57">
        <v>31</v>
      </c>
      <c r="D9" s="57">
        <v>31</v>
      </c>
      <c r="E9" s="57">
        <v>17</v>
      </c>
      <c r="F9" s="57">
        <v>17</v>
      </c>
      <c r="G9" s="57">
        <v>232</v>
      </c>
      <c r="H9" s="57">
        <v>67</v>
      </c>
      <c r="I9" s="57">
        <v>46</v>
      </c>
      <c r="J9" s="57">
        <v>13</v>
      </c>
      <c r="K9" s="57">
        <v>8</v>
      </c>
      <c r="L9" s="57">
        <v>170</v>
      </c>
      <c r="M9" s="57">
        <v>34</v>
      </c>
      <c r="N9" s="57">
        <v>17</v>
      </c>
      <c r="O9" s="57">
        <f t="shared" si="0"/>
        <v>11.047619047619047</v>
      </c>
      <c r="P9" s="57">
        <f t="shared" si="1"/>
        <v>46.4</v>
      </c>
    </row>
    <row r="10" spans="1:16">
      <c r="A10" s="57" t="s">
        <v>151</v>
      </c>
      <c r="B10" s="57">
        <v>9</v>
      </c>
      <c r="C10" s="57">
        <v>34</v>
      </c>
      <c r="D10" s="57">
        <v>34</v>
      </c>
      <c r="E10" s="57">
        <v>18</v>
      </c>
      <c r="F10" s="57">
        <v>18</v>
      </c>
      <c r="G10" s="57">
        <v>255</v>
      </c>
      <c r="H10" s="57">
        <v>73</v>
      </c>
      <c r="I10" s="57">
        <v>51</v>
      </c>
      <c r="J10" s="57">
        <v>14</v>
      </c>
      <c r="K10" s="57">
        <v>9</v>
      </c>
      <c r="L10" s="57">
        <v>180</v>
      </c>
      <c r="M10" s="57">
        <v>36</v>
      </c>
      <c r="N10" s="57">
        <v>18</v>
      </c>
      <c r="O10" s="57">
        <f t="shared" si="0"/>
        <v>11.590909090909092</v>
      </c>
      <c r="P10" s="57">
        <f t="shared" si="1"/>
        <v>51</v>
      </c>
    </row>
    <row r="11" spans="1:16">
      <c r="A11" s="57" t="s">
        <v>151</v>
      </c>
      <c r="B11" s="57">
        <v>10</v>
      </c>
      <c r="C11" s="57">
        <v>37</v>
      </c>
      <c r="D11" s="57">
        <v>37</v>
      </c>
      <c r="E11" s="57">
        <v>19</v>
      </c>
      <c r="F11" s="57">
        <v>19</v>
      </c>
      <c r="G11" s="57">
        <v>277</v>
      </c>
      <c r="H11" s="57">
        <v>79</v>
      </c>
      <c r="I11" s="57">
        <v>55</v>
      </c>
      <c r="J11" s="57">
        <v>14</v>
      </c>
      <c r="K11" s="57">
        <v>9</v>
      </c>
      <c r="L11" s="57">
        <v>190</v>
      </c>
      <c r="M11" s="57">
        <v>38</v>
      </c>
      <c r="N11" s="57">
        <v>19</v>
      </c>
      <c r="O11" s="57">
        <f t="shared" si="0"/>
        <v>11.541666666666666</v>
      </c>
      <c r="P11" s="57">
        <f t="shared" si="1"/>
        <v>55.4</v>
      </c>
    </row>
    <row r="12" spans="1:16">
      <c r="A12" s="57" t="s">
        <v>151</v>
      </c>
      <c r="B12" s="57">
        <v>11</v>
      </c>
      <c r="C12" s="57">
        <v>40</v>
      </c>
      <c r="D12" s="57">
        <v>40</v>
      </c>
      <c r="E12" s="57">
        <v>20</v>
      </c>
      <c r="F12" s="57">
        <v>20</v>
      </c>
      <c r="G12" s="57">
        <v>300</v>
      </c>
      <c r="H12" s="57">
        <v>85</v>
      </c>
      <c r="I12" s="57">
        <v>60</v>
      </c>
      <c r="J12" s="57">
        <v>15</v>
      </c>
      <c r="K12" s="57">
        <v>10</v>
      </c>
      <c r="L12" s="57">
        <v>200</v>
      </c>
      <c r="M12" s="57">
        <v>40</v>
      </c>
      <c r="N12" s="57">
        <v>20</v>
      </c>
      <c r="O12" s="57">
        <f t="shared" si="0"/>
        <v>12</v>
      </c>
      <c r="P12" s="57">
        <f t="shared" si="1"/>
        <v>60</v>
      </c>
    </row>
    <row r="13" spans="1:16">
      <c r="A13" s="57" t="s">
        <v>151</v>
      </c>
      <c r="B13" s="57">
        <v>12</v>
      </c>
      <c r="C13" s="57">
        <v>43</v>
      </c>
      <c r="D13" s="57">
        <v>43</v>
      </c>
      <c r="E13" s="57">
        <v>21</v>
      </c>
      <c r="F13" s="57">
        <v>21</v>
      </c>
      <c r="G13" s="57">
        <v>322</v>
      </c>
      <c r="H13" s="57">
        <v>91</v>
      </c>
      <c r="I13" s="57">
        <v>64</v>
      </c>
      <c r="J13" s="57">
        <v>15</v>
      </c>
      <c r="K13" s="57">
        <v>10</v>
      </c>
      <c r="L13" s="57">
        <v>210</v>
      </c>
      <c r="M13" s="57">
        <v>42</v>
      </c>
      <c r="N13" s="57">
        <v>21</v>
      </c>
      <c r="O13" s="57">
        <f t="shared" si="0"/>
        <v>11.925925925925926</v>
      </c>
      <c r="P13" s="57">
        <f t="shared" si="1"/>
        <v>64.400000000000006</v>
      </c>
    </row>
    <row r="14" spans="1:16">
      <c r="A14" s="57" t="s">
        <v>151</v>
      </c>
      <c r="B14" s="57">
        <v>13</v>
      </c>
      <c r="C14" s="57">
        <v>46</v>
      </c>
      <c r="D14" s="57">
        <v>46</v>
      </c>
      <c r="E14" s="57">
        <v>22</v>
      </c>
      <c r="F14" s="57">
        <v>22</v>
      </c>
      <c r="G14" s="57">
        <v>345</v>
      </c>
      <c r="H14" s="57">
        <v>97</v>
      </c>
      <c r="I14" s="57">
        <v>69</v>
      </c>
      <c r="J14" s="57">
        <v>16</v>
      </c>
      <c r="K14" s="57">
        <v>11</v>
      </c>
      <c r="L14" s="57">
        <v>220</v>
      </c>
      <c r="M14" s="57">
        <v>44</v>
      </c>
      <c r="N14" s="57">
        <v>22</v>
      </c>
      <c r="O14" s="57">
        <f t="shared" si="0"/>
        <v>12.321428571428571</v>
      </c>
      <c r="P14" s="57">
        <f t="shared" si="1"/>
        <v>69</v>
      </c>
    </row>
    <row r="15" spans="1:16">
      <c r="A15" s="57" t="s">
        <v>151</v>
      </c>
      <c r="B15" s="57">
        <v>14</v>
      </c>
      <c r="C15" s="57">
        <v>49</v>
      </c>
      <c r="D15" s="57">
        <v>49</v>
      </c>
      <c r="E15" s="57">
        <v>23</v>
      </c>
      <c r="F15" s="57">
        <v>23</v>
      </c>
      <c r="G15" s="57">
        <v>367</v>
      </c>
      <c r="H15" s="57">
        <v>103</v>
      </c>
      <c r="I15" s="57">
        <v>73</v>
      </c>
      <c r="J15" s="57">
        <v>16</v>
      </c>
      <c r="K15" s="57">
        <v>11</v>
      </c>
      <c r="L15" s="57">
        <v>230</v>
      </c>
      <c r="M15" s="57">
        <v>46</v>
      </c>
      <c r="N15" s="57">
        <v>23</v>
      </c>
      <c r="O15" s="57">
        <f t="shared" si="0"/>
        <v>12.233333333333333</v>
      </c>
      <c r="P15" s="57">
        <f t="shared" si="1"/>
        <v>73.400000000000006</v>
      </c>
    </row>
    <row r="16" spans="1:16">
      <c r="A16" s="57" t="s">
        <v>151</v>
      </c>
      <c r="B16" s="57">
        <v>15</v>
      </c>
      <c r="C16" s="57">
        <v>52</v>
      </c>
      <c r="D16" s="57">
        <v>52</v>
      </c>
      <c r="E16" s="57">
        <v>24</v>
      </c>
      <c r="F16" s="57">
        <v>24</v>
      </c>
      <c r="G16" s="57">
        <v>390</v>
      </c>
      <c r="H16" s="57">
        <v>109</v>
      </c>
      <c r="I16" s="57">
        <v>78</v>
      </c>
      <c r="J16" s="57">
        <v>17</v>
      </c>
      <c r="K16" s="57">
        <v>12</v>
      </c>
      <c r="L16" s="57">
        <v>240</v>
      </c>
      <c r="M16" s="57">
        <v>48</v>
      </c>
      <c r="N16" s="57">
        <v>24</v>
      </c>
      <c r="O16" s="57">
        <f t="shared" si="0"/>
        <v>12.580645161290322</v>
      </c>
      <c r="P16" s="57">
        <f t="shared" si="1"/>
        <v>78</v>
      </c>
    </row>
    <row r="17" spans="1:16">
      <c r="A17" s="57" t="s">
        <v>151</v>
      </c>
      <c r="B17" s="57">
        <v>16</v>
      </c>
      <c r="C17" s="57">
        <v>55</v>
      </c>
      <c r="D17" s="57">
        <v>55</v>
      </c>
      <c r="E17" s="57">
        <v>25</v>
      </c>
      <c r="F17" s="57">
        <v>25</v>
      </c>
      <c r="G17" s="57">
        <v>412</v>
      </c>
      <c r="H17" s="57">
        <v>115</v>
      </c>
      <c r="I17" s="57">
        <v>82</v>
      </c>
      <c r="J17" s="57">
        <v>17</v>
      </c>
      <c r="K17" s="57">
        <v>12</v>
      </c>
      <c r="L17" s="57">
        <v>250</v>
      </c>
      <c r="M17" s="57">
        <v>50</v>
      </c>
      <c r="N17" s="57">
        <v>25</v>
      </c>
      <c r="O17" s="57">
        <f t="shared" si="0"/>
        <v>12.484848484848484</v>
      </c>
      <c r="P17" s="57">
        <f t="shared" si="1"/>
        <v>82.4</v>
      </c>
    </row>
    <row r="18" spans="1:16">
      <c r="A18" s="57" t="s">
        <v>151</v>
      </c>
      <c r="B18" s="57">
        <v>17</v>
      </c>
      <c r="C18" s="57">
        <v>58</v>
      </c>
      <c r="D18" s="57">
        <v>58</v>
      </c>
      <c r="E18" s="57">
        <v>26</v>
      </c>
      <c r="F18" s="57">
        <v>26</v>
      </c>
      <c r="G18" s="57">
        <v>435</v>
      </c>
      <c r="H18" s="57">
        <v>121</v>
      </c>
      <c r="I18" s="57">
        <v>87</v>
      </c>
      <c r="J18" s="57">
        <v>18</v>
      </c>
      <c r="K18" s="57">
        <v>13</v>
      </c>
      <c r="L18" s="57">
        <v>260</v>
      </c>
      <c r="M18" s="57">
        <v>52</v>
      </c>
      <c r="N18" s="57">
        <v>26</v>
      </c>
      <c r="O18" s="57">
        <f t="shared" si="0"/>
        <v>12.794117647058824</v>
      </c>
      <c r="P18" s="57">
        <f t="shared" si="1"/>
        <v>87</v>
      </c>
    </row>
    <row r="19" spans="1:16">
      <c r="A19" s="57" t="s">
        <v>151</v>
      </c>
      <c r="B19" s="57">
        <v>18</v>
      </c>
      <c r="C19" s="57">
        <v>61</v>
      </c>
      <c r="D19" s="57">
        <v>61</v>
      </c>
      <c r="E19" s="57">
        <v>27</v>
      </c>
      <c r="F19" s="57">
        <v>27</v>
      </c>
      <c r="G19" s="57">
        <v>457</v>
      </c>
      <c r="H19" s="57">
        <v>127</v>
      </c>
      <c r="I19" s="57">
        <v>91</v>
      </c>
      <c r="J19" s="57">
        <v>18</v>
      </c>
      <c r="K19" s="57">
        <v>13</v>
      </c>
      <c r="L19" s="57">
        <v>270</v>
      </c>
      <c r="M19" s="57">
        <v>54</v>
      </c>
      <c r="N19" s="57">
        <v>27</v>
      </c>
      <c r="O19" s="57">
        <f t="shared" si="0"/>
        <v>12.694444444444445</v>
      </c>
      <c r="P19" s="57">
        <f t="shared" si="1"/>
        <v>91.4</v>
      </c>
    </row>
    <row r="20" spans="1:16">
      <c r="A20" s="57" t="s">
        <v>151</v>
      </c>
      <c r="B20" s="57">
        <v>19</v>
      </c>
      <c r="C20" s="57">
        <v>64</v>
      </c>
      <c r="D20" s="57">
        <v>64</v>
      </c>
      <c r="E20" s="57">
        <v>28</v>
      </c>
      <c r="F20" s="57">
        <v>28</v>
      </c>
      <c r="G20" s="57">
        <v>480</v>
      </c>
      <c r="H20" s="57">
        <v>133</v>
      </c>
      <c r="I20" s="57">
        <v>96</v>
      </c>
      <c r="J20" s="57">
        <v>19</v>
      </c>
      <c r="K20" s="57">
        <v>14</v>
      </c>
      <c r="L20" s="57">
        <v>280</v>
      </c>
      <c r="M20" s="57">
        <v>56</v>
      </c>
      <c r="N20" s="57">
        <v>28</v>
      </c>
      <c r="O20" s="57">
        <f t="shared" si="0"/>
        <v>12.972972972972974</v>
      </c>
      <c r="P20" s="57">
        <f t="shared" si="1"/>
        <v>96</v>
      </c>
    </row>
    <row r="21" spans="1:16">
      <c r="A21" s="57" t="s">
        <v>151</v>
      </c>
      <c r="B21" s="57">
        <v>20</v>
      </c>
      <c r="C21" s="57">
        <v>67</v>
      </c>
      <c r="D21" s="57">
        <v>67</v>
      </c>
      <c r="E21" s="57">
        <v>29</v>
      </c>
      <c r="F21" s="57">
        <v>29</v>
      </c>
      <c r="G21" s="57">
        <v>502</v>
      </c>
      <c r="H21" s="57">
        <v>139</v>
      </c>
      <c r="I21" s="57">
        <v>100</v>
      </c>
      <c r="J21" s="57">
        <v>19</v>
      </c>
      <c r="K21" s="57">
        <v>14</v>
      </c>
      <c r="L21" s="57">
        <v>290</v>
      </c>
      <c r="M21" s="57">
        <v>58</v>
      </c>
      <c r="N21" s="57">
        <v>29</v>
      </c>
      <c r="O21" s="57">
        <f t="shared" si="0"/>
        <v>12.871794871794872</v>
      </c>
      <c r="P21" s="57">
        <f t="shared" si="1"/>
        <v>100.4</v>
      </c>
    </row>
    <row r="22" spans="1:16">
      <c r="A22" s="57" t="s">
        <v>151</v>
      </c>
      <c r="B22" s="57">
        <v>21</v>
      </c>
      <c r="C22" s="57">
        <v>70</v>
      </c>
      <c r="D22" s="57">
        <v>70</v>
      </c>
      <c r="E22" s="57">
        <v>30</v>
      </c>
      <c r="F22" s="57">
        <v>30</v>
      </c>
      <c r="G22" s="57">
        <v>525</v>
      </c>
      <c r="H22" s="57">
        <v>145</v>
      </c>
      <c r="I22" s="57">
        <v>105</v>
      </c>
      <c r="J22" s="57">
        <v>20</v>
      </c>
      <c r="K22" s="57">
        <v>15</v>
      </c>
      <c r="L22" s="57">
        <v>300</v>
      </c>
      <c r="M22" s="57">
        <v>60</v>
      </c>
      <c r="N22" s="57">
        <v>30</v>
      </c>
      <c r="O22" s="57">
        <f t="shared" si="0"/>
        <v>13.125</v>
      </c>
      <c r="P22" s="57">
        <f t="shared" si="1"/>
        <v>105</v>
      </c>
    </row>
    <row r="23" spans="1:16">
      <c r="A23" s="57" t="s">
        <v>151</v>
      </c>
      <c r="B23" s="57">
        <v>22</v>
      </c>
      <c r="C23" s="57">
        <v>73</v>
      </c>
      <c r="D23" s="57">
        <v>73</v>
      </c>
      <c r="E23" s="57">
        <v>31</v>
      </c>
      <c r="F23" s="57">
        <v>31</v>
      </c>
      <c r="G23" s="57">
        <v>547</v>
      </c>
      <c r="H23" s="57">
        <v>151</v>
      </c>
      <c r="I23" s="57">
        <v>109</v>
      </c>
      <c r="J23" s="57">
        <v>20</v>
      </c>
      <c r="K23" s="57">
        <v>15</v>
      </c>
      <c r="L23" s="57">
        <v>310</v>
      </c>
      <c r="M23" s="57">
        <v>62</v>
      </c>
      <c r="N23" s="57">
        <v>31</v>
      </c>
      <c r="O23" s="57">
        <f t="shared" si="0"/>
        <v>13.023809523809524</v>
      </c>
      <c r="P23" s="57">
        <f t="shared" si="1"/>
        <v>109.4</v>
      </c>
    </row>
    <row r="24" spans="1:16">
      <c r="A24" s="57" t="s">
        <v>151</v>
      </c>
      <c r="B24" s="57">
        <v>23</v>
      </c>
      <c r="C24" s="57">
        <v>76</v>
      </c>
      <c r="D24" s="57">
        <v>76</v>
      </c>
      <c r="E24" s="57">
        <v>32</v>
      </c>
      <c r="F24" s="57">
        <v>32</v>
      </c>
      <c r="G24" s="57">
        <v>570</v>
      </c>
      <c r="H24" s="57">
        <v>157</v>
      </c>
      <c r="I24" s="57">
        <v>114</v>
      </c>
      <c r="J24" s="57">
        <v>21</v>
      </c>
      <c r="K24" s="57">
        <v>16</v>
      </c>
      <c r="L24" s="57">
        <v>320</v>
      </c>
      <c r="M24" s="57">
        <v>64</v>
      </c>
      <c r="N24" s="57">
        <v>32</v>
      </c>
      <c r="O24" s="57">
        <f t="shared" si="0"/>
        <v>13.255813953488373</v>
      </c>
      <c r="P24" s="57">
        <f t="shared" si="1"/>
        <v>114</v>
      </c>
    </row>
    <row r="25" spans="1:16">
      <c r="A25" s="57" t="s">
        <v>151</v>
      </c>
      <c r="B25" s="57">
        <v>24</v>
      </c>
      <c r="C25" s="57">
        <v>79</v>
      </c>
      <c r="D25" s="57">
        <v>79</v>
      </c>
      <c r="E25" s="57">
        <v>33</v>
      </c>
      <c r="F25" s="57">
        <v>33</v>
      </c>
      <c r="G25" s="57">
        <v>592</v>
      </c>
      <c r="H25" s="57">
        <v>163</v>
      </c>
      <c r="I25" s="57">
        <v>118</v>
      </c>
      <c r="J25" s="57">
        <v>21</v>
      </c>
      <c r="K25" s="57">
        <v>16</v>
      </c>
      <c r="L25" s="57">
        <v>330</v>
      </c>
      <c r="M25" s="57">
        <v>66</v>
      </c>
      <c r="N25" s="57">
        <v>33</v>
      </c>
      <c r="O25" s="57">
        <f t="shared" si="0"/>
        <v>13.155555555555555</v>
      </c>
      <c r="P25" s="57">
        <f t="shared" si="1"/>
        <v>118.4</v>
      </c>
    </row>
    <row r="26" spans="1:16">
      <c r="A26" s="57" t="s">
        <v>151</v>
      </c>
      <c r="B26" s="57">
        <v>25</v>
      </c>
      <c r="C26" s="57">
        <v>82</v>
      </c>
      <c r="D26" s="57">
        <v>82</v>
      </c>
      <c r="E26" s="57">
        <v>34</v>
      </c>
      <c r="F26" s="57">
        <v>34</v>
      </c>
      <c r="G26" s="57">
        <v>615</v>
      </c>
      <c r="H26" s="57">
        <v>169</v>
      </c>
      <c r="I26" s="57">
        <v>123</v>
      </c>
      <c r="J26" s="57">
        <v>22</v>
      </c>
      <c r="K26" s="57">
        <v>17</v>
      </c>
      <c r="L26" s="57">
        <v>340</v>
      </c>
      <c r="M26" s="57">
        <v>68</v>
      </c>
      <c r="N26" s="57">
        <v>34</v>
      </c>
      <c r="O26" s="57">
        <f t="shared" si="0"/>
        <v>13.369565217391305</v>
      </c>
      <c r="P26" s="57">
        <f t="shared" si="1"/>
        <v>123</v>
      </c>
    </row>
    <row r="27" spans="1:16">
      <c r="A27" s="57" t="s">
        <v>151</v>
      </c>
      <c r="B27" s="57">
        <v>26</v>
      </c>
      <c r="C27" s="57">
        <v>85</v>
      </c>
      <c r="D27" s="57">
        <v>85</v>
      </c>
      <c r="E27" s="57">
        <v>35</v>
      </c>
      <c r="F27" s="57">
        <v>35</v>
      </c>
      <c r="G27" s="57">
        <v>637</v>
      </c>
      <c r="H27" s="57">
        <v>175</v>
      </c>
      <c r="I27" s="57">
        <v>127</v>
      </c>
      <c r="J27" s="57">
        <v>22</v>
      </c>
      <c r="K27" s="57">
        <v>17</v>
      </c>
      <c r="L27" s="57">
        <v>350</v>
      </c>
      <c r="M27" s="57">
        <v>70</v>
      </c>
      <c r="N27" s="57">
        <v>35</v>
      </c>
      <c r="O27" s="57">
        <f t="shared" si="0"/>
        <v>13.270833333333334</v>
      </c>
      <c r="P27" s="57">
        <f t="shared" si="1"/>
        <v>127.4</v>
      </c>
    </row>
    <row r="28" spans="1:16">
      <c r="A28" s="57" t="s">
        <v>151</v>
      </c>
      <c r="B28" s="57">
        <v>27</v>
      </c>
      <c r="C28" s="57">
        <v>88</v>
      </c>
      <c r="D28" s="57">
        <v>88</v>
      </c>
      <c r="E28" s="57">
        <v>36</v>
      </c>
      <c r="F28" s="57">
        <v>36</v>
      </c>
      <c r="G28" s="57">
        <v>660</v>
      </c>
      <c r="H28" s="57">
        <v>181</v>
      </c>
      <c r="I28" s="57">
        <v>132</v>
      </c>
      <c r="J28" s="57">
        <v>23</v>
      </c>
      <c r="K28" s="57">
        <v>18</v>
      </c>
      <c r="L28" s="57">
        <v>360</v>
      </c>
      <c r="M28" s="57">
        <v>72</v>
      </c>
      <c r="N28" s="57">
        <v>36</v>
      </c>
      <c r="O28" s="57">
        <f t="shared" si="0"/>
        <v>13.469387755102041</v>
      </c>
      <c r="P28" s="57">
        <f t="shared" si="1"/>
        <v>132</v>
      </c>
    </row>
    <row r="29" spans="1:16">
      <c r="A29" s="57" t="s">
        <v>151</v>
      </c>
      <c r="B29" s="57">
        <v>28</v>
      </c>
      <c r="C29" s="57">
        <v>91</v>
      </c>
      <c r="D29" s="57">
        <v>91</v>
      </c>
      <c r="E29" s="57">
        <v>37</v>
      </c>
      <c r="F29" s="57">
        <v>37</v>
      </c>
      <c r="G29" s="57">
        <v>682</v>
      </c>
      <c r="H29" s="57">
        <v>187</v>
      </c>
      <c r="I29" s="57">
        <v>136</v>
      </c>
      <c r="J29" s="57">
        <v>23</v>
      </c>
      <c r="K29" s="57">
        <v>18</v>
      </c>
      <c r="L29" s="57">
        <v>370</v>
      </c>
      <c r="M29" s="57">
        <v>74</v>
      </c>
      <c r="N29" s="57">
        <v>37</v>
      </c>
      <c r="O29" s="57">
        <f t="shared" si="0"/>
        <v>13.372549019607844</v>
      </c>
      <c r="P29" s="57">
        <f t="shared" si="1"/>
        <v>136.4</v>
      </c>
    </row>
    <row r="30" spans="1:16">
      <c r="A30" s="57" t="s">
        <v>151</v>
      </c>
      <c r="B30" s="57">
        <v>29</v>
      </c>
      <c r="C30" s="57">
        <v>94</v>
      </c>
      <c r="D30" s="57">
        <v>94</v>
      </c>
      <c r="E30" s="57">
        <v>38</v>
      </c>
      <c r="F30" s="57">
        <v>38</v>
      </c>
      <c r="G30" s="57">
        <v>705</v>
      </c>
      <c r="H30" s="57">
        <v>193</v>
      </c>
      <c r="I30" s="57">
        <v>141</v>
      </c>
      <c r="J30" s="57">
        <v>24</v>
      </c>
      <c r="K30" s="57">
        <v>19</v>
      </c>
      <c r="L30" s="57">
        <v>380</v>
      </c>
      <c r="M30" s="57">
        <v>76</v>
      </c>
      <c r="N30" s="57">
        <v>38</v>
      </c>
      <c r="O30" s="57">
        <f t="shared" si="0"/>
        <v>13.557692307692308</v>
      </c>
      <c r="P30" s="57">
        <f t="shared" si="1"/>
        <v>141</v>
      </c>
    </row>
    <row r="31" spans="1:16">
      <c r="A31" s="57" t="s">
        <v>151</v>
      </c>
      <c r="B31" s="57">
        <v>30</v>
      </c>
      <c r="C31" s="57">
        <v>97</v>
      </c>
      <c r="D31" s="57">
        <v>97</v>
      </c>
      <c r="E31" s="57">
        <v>39</v>
      </c>
      <c r="F31" s="57">
        <v>39</v>
      </c>
      <c r="G31" s="57">
        <v>727</v>
      </c>
      <c r="H31" s="57">
        <v>199</v>
      </c>
      <c r="I31" s="57">
        <v>145</v>
      </c>
      <c r="J31" s="57">
        <v>24</v>
      </c>
      <c r="K31" s="57">
        <v>19</v>
      </c>
      <c r="L31" s="57">
        <v>390</v>
      </c>
      <c r="M31" s="57">
        <v>78</v>
      </c>
      <c r="N31" s="57">
        <v>39</v>
      </c>
      <c r="O31" s="57">
        <f t="shared" si="0"/>
        <v>13.462962962962964</v>
      </c>
      <c r="P31" s="57">
        <f t="shared" si="1"/>
        <v>145.4</v>
      </c>
    </row>
    <row r="32" spans="1:16">
      <c r="A32" s="57" t="s">
        <v>151</v>
      </c>
      <c r="B32" s="57">
        <v>31</v>
      </c>
      <c r="C32" s="57">
        <v>100</v>
      </c>
      <c r="D32" s="57">
        <v>100</v>
      </c>
      <c r="E32" s="57">
        <v>40</v>
      </c>
      <c r="F32" s="57">
        <v>40</v>
      </c>
      <c r="G32" s="57">
        <v>750</v>
      </c>
      <c r="H32" s="57">
        <v>205</v>
      </c>
      <c r="I32" s="57">
        <v>150</v>
      </c>
      <c r="J32" s="57">
        <v>25</v>
      </c>
      <c r="K32" s="57">
        <v>20</v>
      </c>
      <c r="L32" s="57">
        <v>400</v>
      </c>
      <c r="M32" s="57">
        <v>80</v>
      </c>
      <c r="N32" s="57">
        <v>40</v>
      </c>
      <c r="O32" s="57">
        <f t="shared" si="0"/>
        <v>13.636363636363637</v>
      </c>
      <c r="P32" s="57">
        <f t="shared" si="1"/>
        <v>150</v>
      </c>
    </row>
    <row r="33" spans="1:16">
      <c r="A33" s="57" t="s">
        <v>151</v>
      </c>
      <c r="B33" s="57">
        <v>32</v>
      </c>
      <c r="C33" s="57">
        <v>103</v>
      </c>
      <c r="D33" s="57">
        <v>103</v>
      </c>
      <c r="E33" s="57">
        <v>41</v>
      </c>
      <c r="F33" s="57">
        <v>41</v>
      </c>
      <c r="G33" s="57">
        <v>772</v>
      </c>
      <c r="H33" s="57">
        <v>211</v>
      </c>
      <c r="I33" s="57">
        <v>154</v>
      </c>
      <c r="J33" s="57">
        <v>25</v>
      </c>
      <c r="K33" s="57">
        <v>20</v>
      </c>
      <c r="L33" s="57">
        <v>410</v>
      </c>
      <c r="M33" s="57">
        <v>82</v>
      </c>
      <c r="N33" s="57">
        <v>41</v>
      </c>
      <c r="O33" s="57">
        <f t="shared" si="0"/>
        <v>13.543859649122806</v>
      </c>
      <c r="P33" s="57">
        <f t="shared" si="1"/>
        <v>154.4</v>
      </c>
    </row>
    <row r="34" spans="1:16">
      <c r="A34" s="57" t="s">
        <v>151</v>
      </c>
      <c r="B34" s="57">
        <v>33</v>
      </c>
      <c r="C34" s="57">
        <v>106</v>
      </c>
      <c r="D34" s="57">
        <v>106</v>
      </c>
      <c r="E34" s="57">
        <v>42</v>
      </c>
      <c r="F34" s="57">
        <v>42</v>
      </c>
      <c r="G34" s="57">
        <v>795</v>
      </c>
      <c r="H34" s="57">
        <v>217</v>
      </c>
      <c r="I34" s="57">
        <v>159</v>
      </c>
      <c r="J34" s="57">
        <v>26</v>
      </c>
      <c r="K34" s="57">
        <v>21</v>
      </c>
      <c r="L34" s="57">
        <v>420</v>
      </c>
      <c r="M34" s="57">
        <v>84</v>
      </c>
      <c r="N34" s="57">
        <v>42</v>
      </c>
      <c r="O34" s="57">
        <f t="shared" si="0"/>
        <v>13.706896551724139</v>
      </c>
      <c r="P34" s="57">
        <f t="shared" si="1"/>
        <v>159</v>
      </c>
    </row>
    <row r="35" spans="1:16">
      <c r="A35" s="57" t="s">
        <v>151</v>
      </c>
      <c r="B35" s="57">
        <v>34</v>
      </c>
      <c r="C35" s="57">
        <v>109</v>
      </c>
      <c r="D35" s="57">
        <v>109</v>
      </c>
      <c r="E35" s="57">
        <v>43</v>
      </c>
      <c r="F35" s="57">
        <v>43</v>
      </c>
      <c r="G35" s="57">
        <v>817</v>
      </c>
      <c r="H35" s="57">
        <v>223</v>
      </c>
      <c r="I35" s="57">
        <v>163</v>
      </c>
      <c r="J35" s="57">
        <v>26</v>
      </c>
      <c r="K35" s="57">
        <v>21</v>
      </c>
      <c r="L35" s="57">
        <v>430</v>
      </c>
      <c r="M35" s="57">
        <v>86</v>
      </c>
      <c r="N35" s="57">
        <v>43</v>
      </c>
      <c r="O35" s="57">
        <f t="shared" si="0"/>
        <v>13.616666666666667</v>
      </c>
      <c r="P35" s="57">
        <f t="shared" si="1"/>
        <v>163.4</v>
      </c>
    </row>
    <row r="36" spans="1:16">
      <c r="A36" s="57" t="s">
        <v>151</v>
      </c>
      <c r="B36" s="57">
        <v>35</v>
      </c>
      <c r="C36" s="57">
        <v>112</v>
      </c>
      <c r="D36" s="57">
        <v>112</v>
      </c>
      <c r="E36" s="57">
        <v>44</v>
      </c>
      <c r="F36" s="57">
        <v>44</v>
      </c>
      <c r="G36" s="57">
        <v>840</v>
      </c>
      <c r="H36" s="57">
        <v>229</v>
      </c>
      <c r="I36" s="57">
        <v>168</v>
      </c>
      <c r="J36" s="57">
        <v>27</v>
      </c>
      <c r="K36" s="57">
        <v>22</v>
      </c>
      <c r="L36" s="57">
        <v>440</v>
      </c>
      <c r="M36" s="57">
        <v>88</v>
      </c>
      <c r="N36" s="57">
        <v>44</v>
      </c>
      <c r="O36" s="57">
        <f t="shared" si="0"/>
        <v>13.770491803278688</v>
      </c>
      <c r="P36" s="57">
        <f t="shared" si="1"/>
        <v>168</v>
      </c>
    </row>
    <row r="37" spans="1:16">
      <c r="A37" s="57" t="s">
        <v>151</v>
      </c>
      <c r="B37" s="57">
        <v>36</v>
      </c>
      <c r="C37" s="57">
        <v>115</v>
      </c>
      <c r="D37" s="57">
        <v>115</v>
      </c>
      <c r="E37" s="57">
        <v>45</v>
      </c>
      <c r="F37" s="57">
        <v>45</v>
      </c>
      <c r="G37" s="57">
        <v>862</v>
      </c>
      <c r="H37" s="57">
        <v>235</v>
      </c>
      <c r="I37" s="57">
        <v>172</v>
      </c>
      <c r="J37" s="57">
        <v>27</v>
      </c>
      <c r="K37" s="57">
        <v>22</v>
      </c>
      <c r="L37" s="57">
        <v>450</v>
      </c>
      <c r="M37" s="57">
        <v>90</v>
      </c>
      <c r="N37" s="57">
        <v>45</v>
      </c>
      <c r="O37" s="57">
        <f t="shared" si="0"/>
        <v>13.682539682539682</v>
      </c>
      <c r="P37" s="57">
        <f t="shared" si="1"/>
        <v>172.4</v>
      </c>
    </row>
    <row r="38" spans="1:16">
      <c r="A38" s="57" t="s">
        <v>151</v>
      </c>
      <c r="B38" s="57">
        <v>37</v>
      </c>
      <c r="C38" s="57">
        <v>118</v>
      </c>
      <c r="D38" s="57">
        <v>118</v>
      </c>
      <c r="E38" s="57">
        <v>46</v>
      </c>
      <c r="F38" s="57">
        <v>46</v>
      </c>
      <c r="G38" s="57">
        <v>885</v>
      </c>
      <c r="H38" s="57">
        <v>241</v>
      </c>
      <c r="I38" s="57">
        <v>177</v>
      </c>
      <c r="J38" s="57">
        <v>28</v>
      </c>
      <c r="K38" s="57">
        <v>23</v>
      </c>
      <c r="L38" s="57">
        <v>460</v>
      </c>
      <c r="M38" s="57">
        <v>92</v>
      </c>
      <c r="N38" s="57">
        <v>46</v>
      </c>
      <c r="O38" s="57">
        <f t="shared" si="0"/>
        <v>13.828125</v>
      </c>
      <c r="P38" s="57">
        <f t="shared" si="1"/>
        <v>177</v>
      </c>
    </row>
    <row r="39" spans="1:16">
      <c r="A39" s="57" t="s">
        <v>151</v>
      </c>
      <c r="B39" s="57">
        <v>38</v>
      </c>
      <c r="C39" s="57">
        <v>121</v>
      </c>
      <c r="D39" s="57">
        <v>121</v>
      </c>
      <c r="E39" s="57">
        <v>47</v>
      </c>
      <c r="F39" s="57">
        <v>47</v>
      </c>
      <c r="G39" s="57">
        <v>907</v>
      </c>
      <c r="H39" s="57">
        <v>247</v>
      </c>
      <c r="I39" s="57">
        <v>181</v>
      </c>
      <c r="J39" s="57">
        <v>28</v>
      </c>
      <c r="K39" s="57">
        <v>23</v>
      </c>
      <c r="L39" s="57">
        <v>470</v>
      </c>
      <c r="M39" s="57">
        <v>94</v>
      </c>
      <c r="N39" s="57">
        <v>47</v>
      </c>
      <c r="O39" s="57">
        <f t="shared" si="0"/>
        <v>13.742424242424242</v>
      </c>
      <c r="P39" s="57">
        <f t="shared" si="1"/>
        <v>181.4</v>
      </c>
    </row>
    <row r="40" spans="1:16">
      <c r="A40" s="57" t="s">
        <v>151</v>
      </c>
      <c r="B40" s="57">
        <v>39</v>
      </c>
      <c r="C40" s="57">
        <v>124</v>
      </c>
      <c r="D40" s="57">
        <v>124</v>
      </c>
      <c r="E40" s="57">
        <v>48</v>
      </c>
      <c r="F40" s="57">
        <v>48</v>
      </c>
      <c r="G40" s="57">
        <v>930</v>
      </c>
      <c r="H40" s="57">
        <v>253</v>
      </c>
      <c r="I40" s="57">
        <v>186</v>
      </c>
      <c r="J40" s="57">
        <v>29</v>
      </c>
      <c r="K40" s="57">
        <v>24</v>
      </c>
      <c r="L40" s="57">
        <v>480</v>
      </c>
      <c r="M40" s="57">
        <v>96</v>
      </c>
      <c r="N40" s="57">
        <v>48</v>
      </c>
      <c r="O40" s="57">
        <f t="shared" si="0"/>
        <v>13.880597014925373</v>
      </c>
      <c r="P40" s="57">
        <f t="shared" si="1"/>
        <v>186</v>
      </c>
    </row>
    <row r="41" spans="1:16">
      <c r="A41" s="57" t="s">
        <v>151</v>
      </c>
      <c r="B41" s="57">
        <v>40</v>
      </c>
      <c r="C41" s="57">
        <v>127</v>
      </c>
      <c r="D41" s="57">
        <v>127</v>
      </c>
      <c r="E41" s="57">
        <v>49</v>
      </c>
      <c r="F41" s="57">
        <v>49</v>
      </c>
      <c r="G41" s="57">
        <v>952</v>
      </c>
      <c r="H41" s="57">
        <v>259</v>
      </c>
      <c r="I41" s="57">
        <v>190</v>
      </c>
      <c r="J41" s="57">
        <v>29</v>
      </c>
      <c r="K41" s="57">
        <v>24</v>
      </c>
      <c r="L41" s="57">
        <v>490</v>
      </c>
      <c r="M41" s="57">
        <v>98</v>
      </c>
      <c r="N41" s="57">
        <v>49</v>
      </c>
      <c r="O41" s="57">
        <f t="shared" si="0"/>
        <v>13.797101449275363</v>
      </c>
      <c r="P41" s="57">
        <f t="shared" si="1"/>
        <v>190.4</v>
      </c>
    </row>
    <row r="42" spans="1:16">
      <c r="A42" s="57" t="s">
        <v>151</v>
      </c>
      <c r="B42" s="57">
        <v>41</v>
      </c>
      <c r="C42" s="57">
        <v>130</v>
      </c>
      <c r="D42" s="57">
        <v>130</v>
      </c>
      <c r="E42" s="57">
        <v>50</v>
      </c>
      <c r="F42" s="57">
        <v>50</v>
      </c>
      <c r="G42" s="57">
        <v>975</v>
      </c>
      <c r="H42" s="57">
        <v>265</v>
      </c>
      <c r="I42" s="57">
        <v>195</v>
      </c>
      <c r="J42" s="57">
        <v>30</v>
      </c>
      <c r="K42" s="57">
        <v>25</v>
      </c>
      <c r="L42" s="57">
        <v>500</v>
      </c>
      <c r="M42" s="57">
        <v>100</v>
      </c>
      <c r="N42" s="57">
        <v>50</v>
      </c>
      <c r="O42" s="57">
        <f t="shared" si="0"/>
        <v>13.928571428571429</v>
      </c>
      <c r="P42" s="57">
        <f t="shared" si="1"/>
        <v>195</v>
      </c>
    </row>
    <row r="43" spans="1:16">
      <c r="A43" s="57" t="s">
        <v>151</v>
      </c>
      <c r="B43" s="57">
        <v>42</v>
      </c>
      <c r="C43" s="57">
        <v>133</v>
      </c>
      <c r="D43" s="57">
        <v>133</v>
      </c>
      <c r="E43" s="57">
        <v>51</v>
      </c>
      <c r="F43" s="57">
        <v>51</v>
      </c>
      <c r="G43" s="57">
        <v>997</v>
      </c>
      <c r="H43" s="57">
        <v>271</v>
      </c>
      <c r="I43" s="57">
        <v>199</v>
      </c>
      <c r="J43" s="57">
        <v>30</v>
      </c>
      <c r="K43" s="57">
        <v>25</v>
      </c>
      <c r="L43" s="57">
        <v>510</v>
      </c>
      <c r="M43" s="57">
        <v>102</v>
      </c>
      <c r="N43" s="57">
        <v>51</v>
      </c>
      <c r="O43" s="57">
        <f t="shared" si="0"/>
        <v>13.847222222222221</v>
      </c>
      <c r="P43" s="57">
        <f t="shared" si="1"/>
        <v>199.4</v>
      </c>
    </row>
    <row r="44" spans="1:16">
      <c r="A44" s="57" t="s">
        <v>151</v>
      </c>
      <c r="B44" s="57">
        <v>43</v>
      </c>
      <c r="C44" s="57">
        <v>136</v>
      </c>
      <c r="D44" s="57">
        <v>136</v>
      </c>
      <c r="E44" s="57">
        <v>52</v>
      </c>
      <c r="F44" s="57">
        <v>52</v>
      </c>
      <c r="G44" s="57">
        <v>1020</v>
      </c>
      <c r="H44" s="57">
        <v>277</v>
      </c>
      <c r="I44" s="57">
        <v>204</v>
      </c>
      <c r="J44" s="57">
        <v>31</v>
      </c>
      <c r="K44" s="57">
        <v>26</v>
      </c>
      <c r="L44" s="57">
        <v>520</v>
      </c>
      <c r="M44" s="57">
        <v>104</v>
      </c>
      <c r="N44" s="57">
        <v>52</v>
      </c>
      <c r="O44" s="57">
        <f t="shared" si="0"/>
        <v>13.972602739726028</v>
      </c>
      <c r="P44" s="57">
        <f t="shared" si="1"/>
        <v>204</v>
      </c>
    </row>
    <row r="45" spans="1:16">
      <c r="A45" s="57" t="s">
        <v>151</v>
      </c>
      <c r="B45" s="57">
        <v>44</v>
      </c>
      <c r="C45" s="57">
        <v>139</v>
      </c>
      <c r="D45" s="57">
        <v>139</v>
      </c>
      <c r="E45" s="57">
        <v>53</v>
      </c>
      <c r="F45" s="57">
        <v>53</v>
      </c>
      <c r="G45" s="57">
        <v>1042</v>
      </c>
      <c r="H45" s="57">
        <v>283</v>
      </c>
      <c r="I45" s="57">
        <v>208</v>
      </c>
      <c r="J45" s="57">
        <v>31</v>
      </c>
      <c r="K45" s="57">
        <v>26</v>
      </c>
      <c r="L45" s="57">
        <v>530</v>
      </c>
      <c r="M45" s="57">
        <v>106</v>
      </c>
      <c r="N45" s="57">
        <v>53</v>
      </c>
      <c r="O45" s="57">
        <f t="shared" si="0"/>
        <v>13.893333333333333</v>
      </c>
      <c r="P45" s="57">
        <f t="shared" si="1"/>
        <v>208.4</v>
      </c>
    </row>
    <row r="46" spans="1:16">
      <c r="A46" s="57" t="s">
        <v>151</v>
      </c>
      <c r="B46" s="57">
        <v>45</v>
      </c>
      <c r="C46" s="57">
        <v>142</v>
      </c>
      <c r="D46" s="57">
        <v>142</v>
      </c>
      <c r="E46" s="57">
        <v>54</v>
      </c>
      <c r="F46" s="57">
        <v>54</v>
      </c>
      <c r="G46" s="57">
        <v>1065</v>
      </c>
      <c r="H46" s="57">
        <v>289</v>
      </c>
      <c r="I46" s="57">
        <v>213</v>
      </c>
      <c r="J46" s="57">
        <v>32</v>
      </c>
      <c r="K46" s="57">
        <v>27</v>
      </c>
      <c r="L46" s="57">
        <v>540</v>
      </c>
      <c r="M46" s="57">
        <v>108</v>
      </c>
      <c r="N46" s="57">
        <v>54</v>
      </c>
      <c r="O46" s="57">
        <f t="shared" si="0"/>
        <v>14.013157894736842</v>
      </c>
      <c r="P46" s="57">
        <f t="shared" si="1"/>
        <v>213</v>
      </c>
    </row>
    <row r="47" spans="1:16">
      <c r="A47" s="57" t="s">
        <v>151</v>
      </c>
      <c r="B47" s="57">
        <v>46</v>
      </c>
      <c r="C47" s="57">
        <v>145</v>
      </c>
      <c r="D47" s="57">
        <v>145</v>
      </c>
      <c r="E47" s="57">
        <v>55</v>
      </c>
      <c r="F47" s="57">
        <v>55</v>
      </c>
      <c r="G47" s="57">
        <v>1087</v>
      </c>
      <c r="H47" s="57">
        <v>295</v>
      </c>
      <c r="I47" s="57">
        <v>217</v>
      </c>
      <c r="J47" s="57">
        <v>32</v>
      </c>
      <c r="K47" s="57">
        <v>27</v>
      </c>
      <c r="L47" s="57">
        <v>550</v>
      </c>
      <c r="M47" s="57">
        <v>110</v>
      </c>
      <c r="N47" s="57">
        <v>55</v>
      </c>
      <c r="O47" s="57">
        <f t="shared" si="0"/>
        <v>13.935897435897436</v>
      </c>
      <c r="P47" s="57">
        <f t="shared" si="1"/>
        <v>217.4</v>
      </c>
    </row>
    <row r="48" spans="1:16">
      <c r="A48" s="57" t="s">
        <v>151</v>
      </c>
      <c r="B48" s="57">
        <v>47</v>
      </c>
      <c r="C48" s="57">
        <v>148</v>
      </c>
      <c r="D48" s="57">
        <v>148</v>
      </c>
      <c r="E48" s="57">
        <v>56</v>
      </c>
      <c r="F48" s="57">
        <v>56</v>
      </c>
      <c r="G48" s="57">
        <v>1110</v>
      </c>
      <c r="H48" s="57">
        <v>301</v>
      </c>
      <c r="I48" s="57">
        <v>222</v>
      </c>
      <c r="J48" s="57">
        <v>33</v>
      </c>
      <c r="K48" s="57">
        <v>28</v>
      </c>
      <c r="L48" s="57">
        <v>560</v>
      </c>
      <c r="M48" s="57">
        <v>112</v>
      </c>
      <c r="N48" s="57">
        <v>56</v>
      </c>
      <c r="O48" s="57">
        <f t="shared" si="0"/>
        <v>14.050632911392405</v>
      </c>
      <c r="P48" s="57">
        <f t="shared" si="1"/>
        <v>222</v>
      </c>
    </row>
    <row r="49" spans="1:16">
      <c r="A49" s="57" t="s">
        <v>151</v>
      </c>
      <c r="B49" s="57">
        <v>48</v>
      </c>
      <c r="C49" s="57">
        <v>151</v>
      </c>
      <c r="D49" s="57">
        <v>151</v>
      </c>
      <c r="E49" s="57">
        <v>57</v>
      </c>
      <c r="F49" s="57">
        <v>57</v>
      </c>
      <c r="G49" s="57">
        <v>1132</v>
      </c>
      <c r="H49" s="57">
        <v>307</v>
      </c>
      <c r="I49" s="57">
        <v>226</v>
      </c>
      <c r="J49" s="57">
        <v>33</v>
      </c>
      <c r="K49" s="57">
        <v>28</v>
      </c>
      <c r="L49" s="57">
        <v>570</v>
      </c>
      <c r="M49" s="57">
        <v>114</v>
      </c>
      <c r="N49" s="57">
        <v>57</v>
      </c>
      <c r="O49" s="57">
        <f t="shared" si="0"/>
        <v>13.975308641975309</v>
      </c>
      <c r="P49" s="57">
        <f t="shared" si="1"/>
        <v>226.4</v>
      </c>
    </row>
    <row r="50" spans="1:16">
      <c r="A50" s="57" t="s">
        <v>151</v>
      </c>
      <c r="B50" s="57">
        <v>49</v>
      </c>
      <c r="C50" s="57">
        <v>154</v>
      </c>
      <c r="D50" s="57">
        <v>154</v>
      </c>
      <c r="E50" s="57">
        <v>58</v>
      </c>
      <c r="F50" s="57">
        <v>58</v>
      </c>
      <c r="G50" s="57">
        <v>1155</v>
      </c>
      <c r="H50" s="57">
        <v>313</v>
      </c>
      <c r="I50" s="57">
        <v>231</v>
      </c>
      <c r="J50" s="57">
        <v>34</v>
      </c>
      <c r="K50" s="57">
        <v>29</v>
      </c>
      <c r="L50" s="57">
        <v>580</v>
      </c>
      <c r="M50" s="57">
        <v>116</v>
      </c>
      <c r="N50" s="57">
        <v>58</v>
      </c>
      <c r="O50" s="57">
        <f t="shared" si="0"/>
        <v>14.085365853658537</v>
      </c>
      <c r="P50" s="57">
        <f t="shared" si="1"/>
        <v>231</v>
      </c>
    </row>
    <row r="51" spans="1:16">
      <c r="A51" s="57" t="s">
        <v>151</v>
      </c>
      <c r="B51" s="57">
        <v>50</v>
      </c>
      <c r="C51" s="57">
        <v>157</v>
      </c>
      <c r="D51" s="57">
        <v>157</v>
      </c>
      <c r="E51" s="57">
        <v>59</v>
      </c>
      <c r="F51" s="57">
        <v>59</v>
      </c>
      <c r="G51" s="57">
        <v>1177</v>
      </c>
      <c r="H51" s="57">
        <v>319</v>
      </c>
      <c r="I51" s="57">
        <v>235</v>
      </c>
      <c r="J51" s="57">
        <v>34</v>
      </c>
      <c r="K51" s="57">
        <v>29</v>
      </c>
      <c r="L51" s="57">
        <v>590</v>
      </c>
      <c r="M51" s="57">
        <v>118</v>
      </c>
      <c r="N51" s="57">
        <v>59</v>
      </c>
      <c r="O51" s="57">
        <f t="shared" si="0"/>
        <v>14.011904761904763</v>
      </c>
      <c r="P51" s="57">
        <f t="shared" si="1"/>
        <v>235.4</v>
      </c>
    </row>
    <row r="52" spans="1:16">
      <c r="A52" s="57" t="s">
        <v>151</v>
      </c>
      <c r="B52" s="57">
        <v>51</v>
      </c>
      <c r="C52" s="57">
        <v>160</v>
      </c>
      <c r="D52" s="57">
        <v>160</v>
      </c>
      <c r="E52" s="57">
        <v>60</v>
      </c>
      <c r="F52" s="57">
        <v>60</v>
      </c>
      <c r="G52" s="57">
        <v>1200</v>
      </c>
      <c r="H52" s="57">
        <v>325</v>
      </c>
      <c r="I52" s="57">
        <v>240</v>
      </c>
      <c r="J52" s="57">
        <v>35</v>
      </c>
      <c r="K52" s="57">
        <v>30</v>
      </c>
      <c r="L52" s="57">
        <v>600</v>
      </c>
      <c r="M52" s="57">
        <v>120</v>
      </c>
      <c r="N52" s="57">
        <v>60</v>
      </c>
      <c r="O52" s="57">
        <f t="shared" si="0"/>
        <v>14.117647058823529</v>
      </c>
      <c r="P52" s="57">
        <f t="shared" si="1"/>
        <v>240</v>
      </c>
    </row>
    <row r="53" spans="1:16">
      <c r="A53" s="57" t="s">
        <v>151</v>
      </c>
      <c r="B53" s="57">
        <v>52</v>
      </c>
      <c r="C53" s="57">
        <v>163</v>
      </c>
      <c r="D53" s="57">
        <v>163</v>
      </c>
      <c r="E53" s="57">
        <v>61</v>
      </c>
      <c r="F53" s="57">
        <v>61</v>
      </c>
      <c r="G53" s="57">
        <v>1222</v>
      </c>
      <c r="H53" s="57">
        <v>331</v>
      </c>
      <c r="I53" s="57">
        <v>244</v>
      </c>
      <c r="J53" s="57">
        <v>35</v>
      </c>
      <c r="K53" s="57">
        <v>30</v>
      </c>
      <c r="L53" s="57">
        <v>610</v>
      </c>
      <c r="M53" s="57">
        <v>122</v>
      </c>
      <c r="N53" s="57">
        <v>61</v>
      </c>
      <c r="O53" s="57">
        <f t="shared" si="0"/>
        <v>14.045977011494253</v>
      </c>
      <c r="P53" s="57">
        <f t="shared" si="1"/>
        <v>244.4</v>
      </c>
    </row>
    <row r="54" spans="1:16">
      <c r="A54" s="57" t="s">
        <v>151</v>
      </c>
      <c r="B54" s="57">
        <v>53</v>
      </c>
      <c r="C54" s="57">
        <v>166</v>
      </c>
      <c r="D54" s="57">
        <v>166</v>
      </c>
      <c r="E54" s="57">
        <v>62</v>
      </c>
      <c r="F54" s="57">
        <v>62</v>
      </c>
      <c r="G54" s="57">
        <v>1245</v>
      </c>
      <c r="H54" s="57">
        <v>337</v>
      </c>
      <c r="I54" s="57">
        <v>249</v>
      </c>
      <c r="J54" s="57">
        <v>36</v>
      </c>
      <c r="K54" s="57">
        <v>31</v>
      </c>
      <c r="L54" s="57">
        <v>620</v>
      </c>
      <c r="M54" s="57">
        <v>124</v>
      </c>
      <c r="N54" s="57">
        <v>62</v>
      </c>
      <c r="O54" s="57">
        <f t="shared" si="0"/>
        <v>14.147727272727273</v>
      </c>
      <c r="P54" s="57">
        <f t="shared" si="1"/>
        <v>249</v>
      </c>
    </row>
    <row r="55" spans="1:16">
      <c r="A55" s="57" t="s">
        <v>151</v>
      </c>
      <c r="B55" s="57">
        <v>54</v>
      </c>
      <c r="C55" s="57">
        <v>169</v>
      </c>
      <c r="D55" s="57">
        <v>169</v>
      </c>
      <c r="E55" s="57">
        <v>63</v>
      </c>
      <c r="F55" s="57">
        <v>63</v>
      </c>
      <c r="G55" s="57">
        <v>1267</v>
      </c>
      <c r="H55" s="57">
        <v>343</v>
      </c>
      <c r="I55" s="57">
        <v>253</v>
      </c>
      <c r="J55" s="57">
        <v>36</v>
      </c>
      <c r="K55" s="57">
        <v>31</v>
      </c>
      <c r="L55" s="57">
        <v>630</v>
      </c>
      <c r="M55" s="57">
        <v>126</v>
      </c>
      <c r="N55" s="57">
        <v>63</v>
      </c>
      <c r="O55" s="57">
        <f t="shared" si="0"/>
        <v>14.077777777777778</v>
      </c>
      <c r="P55" s="57">
        <f t="shared" si="1"/>
        <v>253.4</v>
      </c>
    </row>
    <row r="56" spans="1:16">
      <c r="A56" s="57" t="s">
        <v>151</v>
      </c>
      <c r="B56" s="57">
        <v>55</v>
      </c>
      <c r="C56" s="57">
        <v>172</v>
      </c>
      <c r="D56" s="57">
        <v>172</v>
      </c>
      <c r="E56" s="57">
        <v>64</v>
      </c>
      <c r="F56" s="57">
        <v>64</v>
      </c>
      <c r="G56" s="57">
        <v>1290</v>
      </c>
      <c r="H56" s="57">
        <v>349</v>
      </c>
      <c r="I56" s="57">
        <v>258</v>
      </c>
      <c r="J56" s="57">
        <v>37</v>
      </c>
      <c r="K56" s="57">
        <v>32</v>
      </c>
      <c r="L56" s="57">
        <v>640</v>
      </c>
      <c r="M56" s="57">
        <v>128</v>
      </c>
      <c r="N56" s="57">
        <v>64</v>
      </c>
      <c r="O56" s="57">
        <f t="shared" si="0"/>
        <v>14.175824175824175</v>
      </c>
      <c r="P56" s="57">
        <f t="shared" si="1"/>
        <v>258</v>
      </c>
    </row>
    <row r="57" spans="1:16">
      <c r="A57" s="57" t="s">
        <v>151</v>
      </c>
      <c r="B57" s="57">
        <v>56</v>
      </c>
      <c r="C57" s="57">
        <v>175</v>
      </c>
      <c r="D57" s="57">
        <v>175</v>
      </c>
      <c r="E57" s="57">
        <v>65</v>
      </c>
      <c r="F57" s="57">
        <v>65</v>
      </c>
      <c r="G57" s="57">
        <v>1312</v>
      </c>
      <c r="H57" s="57">
        <v>355</v>
      </c>
      <c r="I57" s="57">
        <v>262</v>
      </c>
      <c r="J57" s="57">
        <v>37</v>
      </c>
      <c r="K57" s="57">
        <v>32</v>
      </c>
      <c r="L57" s="57">
        <v>650</v>
      </c>
      <c r="M57" s="57">
        <v>130</v>
      </c>
      <c r="N57" s="57">
        <v>65</v>
      </c>
      <c r="O57" s="57">
        <f t="shared" si="0"/>
        <v>14.10752688172043</v>
      </c>
      <c r="P57" s="57">
        <f t="shared" si="1"/>
        <v>262.39999999999998</v>
      </c>
    </row>
    <row r="58" spans="1:16">
      <c r="A58" s="57" t="s">
        <v>151</v>
      </c>
      <c r="B58" s="57">
        <v>57</v>
      </c>
      <c r="C58" s="57">
        <v>178</v>
      </c>
      <c r="D58" s="57">
        <v>178</v>
      </c>
      <c r="E58" s="57">
        <v>66</v>
      </c>
      <c r="F58" s="57">
        <v>66</v>
      </c>
      <c r="G58" s="57">
        <v>1335</v>
      </c>
      <c r="H58" s="57">
        <v>361</v>
      </c>
      <c r="I58" s="57">
        <v>267</v>
      </c>
      <c r="J58" s="57">
        <v>38</v>
      </c>
      <c r="K58" s="57">
        <v>33</v>
      </c>
      <c r="L58" s="57">
        <v>660</v>
      </c>
      <c r="M58" s="57">
        <v>132</v>
      </c>
      <c r="N58" s="57">
        <v>66</v>
      </c>
      <c r="O58" s="57">
        <f t="shared" si="0"/>
        <v>14.202127659574469</v>
      </c>
      <c r="P58" s="57">
        <f t="shared" si="1"/>
        <v>267</v>
      </c>
    </row>
    <row r="59" spans="1:16">
      <c r="A59" s="57" t="s">
        <v>151</v>
      </c>
      <c r="B59" s="57">
        <v>58</v>
      </c>
      <c r="C59" s="57">
        <v>181</v>
      </c>
      <c r="D59" s="57">
        <v>181</v>
      </c>
      <c r="E59" s="57">
        <v>67</v>
      </c>
      <c r="F59" s="57">
        <v>67</v>
      </c>
      <c r="G59" s="57">
        <v>1357</v>
      </c>
      <c r="H59" s="57">
        <v>367</v>
      </c>
      <c r="I59" s="57">
        <v>271</v>
      </c>
      <c r="J59" s="57">
        <v>38</v>
      </c>
      <c r="K59" s="57">
        <v>33</v>
      </c>
      <c r="L59" s="57">
        <v>670</v>
      </c>
      <c r="M59" s="57">
        <v>134</v>
      </c>
      <c r="N59" s="57">
        <v>67</v>
      </c>
      <c r="O59" s="57">
        <f t="shared" si="0"/>
        <v>14.135416666666666</v>
      </c>
      <c r="P59" s="57">
        <f t="shared" si="1"/>
        <v>271.39999999999998</v>
      </c>
    </row>
    <row r="60" spans="1:16">
      <c r="A60" s="57" t="s">
        <v>151</v>
      </c>
      <c r="B60" s="57">
        <v>59</v>
      </c>
      <c r="C60" s="57">
        <v>184</v>
      </c>
      <c r="D60" s="57">
        <v>184</v>
      </c>
      <c r="E60" s="57">
        <v>68</v>
      </c>
      <c r="F60" s="57">
        <v>68</v>
      </c>
      <c r="G60" s="57">
        <v>1380</v>
      </c>
      <c r="H60" s="57">
        <v>373</v>
      </c>
      <c r="I60" s="57">
        <v>276</v>
      </c>
      <c r="J60" s="57">
        <v>39</v>
      </c>
      <c r="K60" s="57">
        <v>34</v>
      </c>
      <c r="L60" s="57">
        <v>680</v>
      </c>
      <c r="M60" s="57">
        <v>136</v>
      </c>
      <c r="N60" s="57">
        <v>68</v>
      </c>
      <c r="O60" s="57">
        <f t="shared" si="0"/>
        <v>14.226804123711339</v>
      </c>
      <c r="P60" s="57">
        <f t="shared" si="1"/>
        <v>276</v>
      </c>
    </row>
    <row r="61" spans="1:16">
      <c r="A61" s="57" t="s">
        <v>151</v>
      </c>
      <c r="B61" s="57">
        <v>60</v>
      </c>
      <c r="C61" s="57">
        <v>187</v>
      </c>
      <c r="D61" s="57">
        <v>187</v>
      </c>
      <c r="E61" s="57">
        <v>69</v>
      </c>
      <c r="F61" s="57">
        <v>69</v>
      </c>
      <c r="G61" s="57">
        <v>1402</v>
      </c>
      <c r="H61" s="57">
        <v>379</v>
      </c>
      <c r="I61" s="57">
        <v>280</v>
      </c>
      <c r="J61" s="57">
        <v>39</v>
      </c>
      <c r="K61" s="57">
        <v>34</v>
      </c>
      <c r="L61" s="57">
        <v>690</v>
      </c>
      <c r="M61" s="57">
        <v>138</v>
      </c>
      <c r="N61" s="57">
        <v>69</v>
      </c>
      <c r="O61" s="57">
        <f t="shared" si="0"/>
        <v>14.161616161616161</v>
      </c>
      <c r="P61" s="57">
        <f t="shared" si="1"/>
        <v>280.39999999999998</v>
      </c>
    </row>
    <row r="62" spans="1:16">
      <c r="A62" s="57" t="s">
        <v>151</v>
      </c>
      <c r="B62" s="57">
        <v>61</v>
      </c>
      <c r="C62" s="57">
        <v>190</v>
      </c>
      <c r="D62" s="57">
        <v>190</v>
      </c>
      <c r="E62" s="57">
        <v>70</v>
      </c>
      <c r="F62" s="57">
        <v>70</v>
      </c>
      <c r="G62" s="57">
        <v>1425</v>
      </c>
      <c r="H62" s="57">
        <v>385</v>
      </c>
      <c r="I62" s="57">
        <v>285</v>
      </c>
      <c r="J62" s="57">
        <v>40</v>
      </c>
      <c r="K62" s="57">
        <v>35</v>
      </c>
      <c r="L62" s="57">
        <v>700</v>
      </c>
      <c r="M62" s="57">
        <v>140</v>
      </c>
      <c r="N62" s="57">
        <v>70</v>
      </c>
      <c r="O62" s="57">
        <f t="shared" si="0"/>
        <v>14.25</v>
      </c>
      <c r="P62" s="57">
        <f t="shared" si="1"/>
        <v>285</v>
      </c>
    </row>
    <row r="63" spans="1:16">
      <c r="A63" s="57" t="s">
        <v>151</v>
      </c>
      <c r="B63" s="57">
        <v>62</v>
      </c>
      <c r="C63" s="57">
        <v>193</v>
      </c>
      <c r="D63" s="57">
        <v>193</v>
      </c>
      <c r="E63" s="57">
        <v>71</v>
      </c>
      <c r="F63" s="57">
        <v>71</v>
      </c>
      <c r="G63" s="57">
        <v>1447</v>
      </c>
      <c r="H63" s="57">
        <v>391</v>
      </c>
      <c r="I63" s="57">
        <v>289</v>
      </c>
      <c r="J63" s="57">
        <v>40</v>
      </c>
      <c r="K63" s="57">
        <v>35</v>
      </c>
      <c r="L63" s="57">
        <v>710</v>
      </c>
      <c r="M63" s="57">
        <v>142</v>
      </c>
      <c r="N63" s="57">
        <v>71</v>
      </c>
      <c r="O63" s="57">
        <f t="shared" si="0"/>
        <v>14.186274509803921</v>
      </c>
      <c r="P63" s="57">
        <f t="shared" si="1"/>
        <v>289.39999999999998</v>
      </c>
    </row>
    <row r="64" spans="1:16">
      <c r="A64" s="57" t="s">
        <v>151</v>
      </c>
      <c r="B64" s="57">
        <v>63</v>
      </c>
      <c r="C64" s="57">
        <v>196</v>
      </c>
      <c r="D64" s="57">
        <v>196</v>
      </c>
      <c r="E64" s="57">
        <v>72</v>
      </c>
      <c r="F64" s="57">
        <v>72</v>
      </c>
      <c r="G64" s="57">
        <v>1470</v>
      </c>
      <c r="H64" s="57">
        <v>397</v>
      </c>
      <c r="I64" s="57">
        <v>294</v>
      </c>
      <c r="J64" s="57">
        <v>41</v>
      </c>
      <c r="K64" s="57">
        <v>36</v>
      </c>
      <c r="L64" s="57">
        <v>720</v>
      </c>
      <c r="M64" s="57">
        <v>144</v>
      </c>
      <c r="N64" s="57">
        <v>72</v>
      </c>
      <c r="O64" s="57">
        <f t="shared" si="0"/>
        <v>14.271844660194175</v>
      </c>
      <c r="P64" s="57">
        <f t="shared" si="1"/>
        <v>294</v>
      </c>
    </row>
    <row r="65" spans="1:16">
      <c r="A65" s="57" t="s">
        <v>151</v>
      </c>
      <c r="B65" s="57">
        <v>64</v>
      </c>
      <c r="C65" s="57">
        <v>199</v>
      </c>
      <c r="D65" s="57">
        <v>199</v>
      </c>
      <c r="E65" s="57">
        <v>73</v>
      </c>
      <c r="F65" s="57">
        <v>73</v>
      </c>
      <c r="G65" s="57">
        <v>1492</v>
      </c>
      <c r="H65" s="57">
        <v>403</v>
      </c>
      <c r="I65" s="57">
        <v>298</v>
      </c>
      <c r="J65" s="57">
        <v>41</v>
      </c>
      <c r="K65" s="57">
        <v>36</v>
      </c>
      <c r="L65" s="57">
        <v>730</v>
      </c>
      <c r="M65" s="57">
        <v>146</v>
      </c>
      <c r="N65" s="57">
        <v>73</v>
      </c>
      <c r="O65" s="57">
        <f t="shared" si="0"/>
        <v>14.209523809523809</v>
      </c>
      <c r="P65" s="57">
        <f t="shared" si="1"/>
        <v>298.39999999999998</v>
      </c>
    </row>
    <row r="66" spans="1:16">
      <c r="A66" s="57" t="s">
        <v>151</v>
      </c>
      <c r="B66" s="57">
        <v>65</v>
      </c>
      <c r="C66" s="57">
        <v>202</v>
      </c>
      <c r="D66" s="57">
        <v>202</v>
      </c>
      <c r="E66" s="57">
        <v>74</v>
      </c>
      <c r="F66" s="57">
        <v>74</v>
      </c>
      <c r="G66" s="57">
        <v>1515</v>
      </c>
      <c r="H66" s="57">
        <v>409</v>
      </c>
      <c r="I66" s="57">
        <v>303</v>
      </c>
      <c r="J66" s="57">
        <v>42</v>
      </c>
      <c r="K66" s="57">
        <v>37</v>
      </c>
      <c r="L66" s="57">
        <v>740</v>
      </c>
      <c r="M66" s="57">
        <v>148</v>
      </c>
      <c r="N66" s="57">
        <v>74</v>
      </c>
      <c r="O66" s="57">
        <f t="shared" si="0"/>
        <v>14.29245283018868</v>
      </c>
      <c r="P66" s="57">
        <f t="shared" si="1"/>
        <v>303</v>
      </c>
    </row>
    <row r="67" spans="1:16">
      <c r="A67" s="57" t="s">
        <v>151</v>
      </c>
      <c r="B67" s="57">
        <v>66</v>
      </c>
      <c r="C67" s="57">
        <v>205</v>
      </c>
      <c r="D67" s="57">
        <v>205</v>
      </c>
      <c r="E67" s="57">
        <v>75</v>
      </c>
      <c r="F67" s="57">
        <v>75</v>
      </c>
      <c r="G67" s="57">
        <v>1537</v>
      </c>
      <c r="H67" s="57">
        <v>415</v>
      </c>
      <c r="I67" s="57">
        <v>307</v>
      </c>
      <c r="J67" s="57">
        <v>42</v>
      </c>
      <c r="K67" s="57">
        <v>37</v>
      </c>
      <c r="L67" s="57">
        <v>750</v>
      </c>
      <c r="M67" s="57">
        <v>150</v>
      </c>
      <c r="N67" s="57">
        <v>75</v>
      </c>
      <c r="O67" s="57">
        <f t="shared" ref="O67:O101" si="2">G67/(H67-I67)</f>
        <v>14.231481481481481</v>
      </c>
      <c r="P67" s="57">
        <f t="shared" ref="P67:P101" si="3">G67/(J67-K67)</f>
        <v>307.39999999999998</v>
      </c>
    </row>
    <row r="68" spans="1:16">
      <c r="A68" s="57" t="s">
        <v>151</v>
      </c>
      <c r="B68" s="57">
        <v>67</v>
      </c>
      <c r="C68" s="57">
        <v>208</v>
      </c>
      <c r="D68" s="57">
        <v>208</v>
      </c>
      <c r="E68" s="57">
        <v>76</v>
      </c>
      <c r="F68" s="57">
        <v>76</v>
      </c>
      <c r="G68" s="57">
        <v>1560</v>
      </c>
      <c r="H68" s="57">
        <v>421</v>
      </c>
      <c r="I68" s="57">
        <v>312</v>
      </c>
      <c r="J68" s="57">
        <v>43</v>
      </c>
      <c r="K68" s="57">
        <v>38</v>
      </c>
      <c r="L68" s="57">
        <v>760</v>
      </c>
      <c r="M68" s="57">
        <v>152</v>
      </c>
      <c r="N68" s="57">
        <v>76</v>
      </c>
      <c r="O68" s="57">
        <f t="shared" si="2"/>
        <v>14.311926605504587</v>
      </c>
      <c r="P68" s="57">
        <f t="shared" si="3"/>
        <v>312</v>
      </c>
    </row>
    <row r="69" spans="1:16">
      <c r="A69" s="57" t="s">
        <v>151</v>
      </c>
      <c r="B69" s="57">
        <v>68</v>
      </c>
      <c r="C69" s="57">
        <v>211</v>
      </c>
      <c r="D69" s="57">
        <v>211</v>
      </c>
      <c r="E69" s="57">
        <v>77</v>
      </c>
      <c r="F69" s="57">
        <v>77</v>
      </c>
      <c r="G69" s="57">
        <v>1582</v>
      </c>
      <c r="H69" s="57">
        <v>427</v>
      </c>
      <c r="I69" s="57">
        <v>316</v>
      </c>
      <c r="J69" s="57">
        <v>43</v>
      </c>
      <c r="K69" s="57">
        <v>38</v>
      </c>
      <c r="L69" s="57">
        <v>770</v>
      </c>
      <c r="M69" s="57">
        <v>154</v>
      </c>
      <c r="N69" s="57">
        <v>77</v>
      </c>
      <c r="O69" s="57">
        <f t="shared" si="2"/>
        <v>14.252252252252251</v>
      </c>
      <c r="P69" s="57">
        <f t="shared" si="3"/>
        <v>316.39999999999998</v>
      </c>
    </row>
    <row r="70" spans="1:16">
      <c r="A70" s="57" t="s">
        <v>151</v>
      </c>
      <c r="B70" s="57">
        <v>69</v>
      </c>
      <c r="C70" s="57">
        <v>214</v>
      </c>
      <c r="D70" s="57">
        <v>214</v>
      </c>
      <c r="E70" s="57">
        <v>78</v>
      </c>
      <c r="F70" s="57">
        <v>78</v>
      </c>
      <c r="G70" s="57">
        <v>1605</v>
      </c>
      <c r="H70" s="57">
        <v>433</v>
      </c>
      <c r="I70" s="57">
        <v>321</v>
      </c>
      <c r="J70" s="57">
        <v>44</v>
      </c>
      <c r="K70" s="57">
        <v>39</v>
      </c>
      <c r="L70" s="57">
        <v>780</v>
      </c>
      <c r="M70" s="57">
        <v>156</v>
      </c>
      <c r="N70" s="57">
        <v>78</v>
      </c>
      <c r="O70" s="57">
        <f t="shared" si="2"/>
        <v>14.330357142857142</v>
      </c>
      <c r="P70" s="57">
        <f t="shared" si="3"/>
        <v>321</v>
      </c>
    </row>
    <row r="71" spans="1:16">
      <c r="A71" s="57" t="s">
        <v>151</v>
      </c>
      <c r="B71" s="57">
        <v>70</v>
      </c>
      <c r="C71" s="57">
        <v>217</v>
      </c>
      <c r="D71" s="57">
        <v>217</v>
      </c>
      <c r="E71" s="57">
        <v>79</v>
      </c>
      <c r="F71" s="57">
        <v>79</v>
      </c>
      <c r="G71" s="57">
        <v>1627</v>
      </c>
      <c r="H71" s="57">
        <v>439</v>
      </c>
      <c r="I71" s="57">
        <v>325</v>
      </c>
      <c r="J71" s="57">
        <v>44</v>
      </c>
      <c r="K71" s="57">
        <v>39</v>
      </c>
      <c r="L71" s="57">
        <v>790</v>
      </c>
      <c r="M71" s="57">
        <v>158</v>
      </c>
      <c r="N71" s="57">
        <v>79</v>
      </c>
      <c r="O71" s="57">
        <f t="shared" si="2"/>
        <v>14.271929824561404</v>
      </c>
      <c r="P71" s="57">
        <f t="shared" si="3"/>
        <v>325.39999999999998</v>
      </c>
    </row>
    <row r="72" spans="1:16">
      <c r="A72" s="57" t="s">
        <v>151</v>
      </c>
      <c r="B72" s="57">
        <v>71</v>
      </c>
      <c r="C72" s="57">
        <v>220</v>
      </c>
      <c r="D72" s="57">
        <v>220</v>
      </c>
      <c r="E72" s="57">
        <v>80</v>
      </c>
      <c r="F72" s="57">
        <v>80</v>
      </c>
      <c r="G72" s="57">
        <v>1650</v>
      </c>
      <c r="H72" s="57">
        <v>445</v>
      </c>
      <c r="I72" s="57">
        <v>330</v>
      </c>
      <c r="J72" s="57">
        <v>45</v>
      </c>
      <c r="K72" s="57">
        <v>40</v>
      </c>
      <c r="L72" s="57">
        <v>800</v>
      </c>
      <c r="M72" s="57">
        <v>160</v>
      </c>
      <c r="N72" s="57">
        <v>80</v>
      </c>
      <c r="O72" s="57">
        <f t="shared" si="2"/>
        <v>14.347826086956522</v>
      </c>
      <c r="P72" s="57">
        <f t="shared" si="3"/>
        <v>330</v>
      </c>
    </row>
    <row r="73" spans="1:16">
      <c r="A73" s="57" t="s">
        <v>151</v>
      </c>
      <c r="B73" s="57">
        <v>72</v>
      </c>
      <c r="C73" s="57">
        <v>223</v>
      </c>
      <c r="D73" s="57">
        <v>223</v>
      </c>
      <c r="E73" s="57">
        <v>81</v>
      </c>
      <c r="F73" s="57">
        <v>81</v>
      </c>
      <c r="G73" s="57">
        <v>1672</v>
      </c>
      <c r="H73" s="57">
        <v>451</v>
      </c>
      <c r="I73" s="57">
        <v>334</v>
      </c>
      <c r="J73" s="57">
        <v>45</v>
      </c>
      <c r="K73" s="57">
        <v>40</v>
      </c>
      <c r="L73" s="57">
        <v>810</v>
      </c>
      <c r="M73" s="57">
        <v>162</v>
      </c>
      <c r="N73" s="57">
        <v>81</v>
      </c>
      <c r="O73" s="57">
        <f t="shared" si="2"/>
        <v>14.290598290598291</v>
      </c>
      <c r="P73" s="57">
        <f t="shared" si="3"/>
        <v>334.4</v>
      </c>
    </row>
    <row r="74" spans="1:16">
      <c r="A74" s="57" t="s">
        <v>151</v>
      </c>
      <c r="B74" s="57">
        <v>73</v>
      </c>
      <c r="C74" s="57">
        <v>226</v>
      </c>
      <c r="D74" s="57">
        <v>226</v>
      </c>
      <c r="E74" s="57">
        <v>82</v>
      </c>
      <c r="F74" s="57">
        <v>82</v>
      </c>
      <c r="G74" s="57">
        <v>1695</v>
      </c>
      <c r="H74" s="57">
        <v>457</v>
      </c>
      <c r="I74" s="57">
        <v>339</v>
      </c>
      <c r="J74" s="57">
        <v>46</v>
      </c>
      <c r="K74" s="57">
        <v>41</v>
      </c>
      <c r="L74" s="57">
        <v>820</v>
      </c>
      <c r="M74" s="57">
        <v>164</v>
      </c>
      <c r="N74" s="57">
        <v>82</v>
      </c>
      <c r="O74" s="57">
        <f t="shared" si="2"/>
        <v>14.364406779661017</v>
      </c>
      <c r="P74" s="57">
        <f t="shared" si="3"/>
        <v>339</v>
      </c>
    </row>
    <row r="75" spans="1:16">
      <c r="A75" s="57" t="s">
        <v>151</v>
      </c>
      <c r="B75" s="57">
        <v>74</v>
      </c>
      <c r="C75" s="57">
        <v>229</v>
      </c>
      <c r="D75" s="57">
        <v>229</v>
      </c>
      <c r="E75" s="57">
        <v>83</v>
      </c>
      <c r="F75" s="57">
        <v>83</v>
      </c>
      <c r="G75" s="57">
        <v>1717</v>
      </c>
      <c r="H75" s="57">
        <v>463</v>
      </c>
      <c r="I75" s="57">
        <v>343</v>
      </c>
      <c r="J75" s="57">
        <v>46</v>
      </c>
      <c r="K75" s="57">
        <v>41</v>
      </c>
      <c r="L75" s="57">
        <v>830</v>
      </c>
      <c r="M75" s="57">
        <v>166</v>
      </c>
      <c r="N75" s="57">
        <v>83</v>
      </c>
      <c r="O75" s="57">
        <f t="shared" si="2"/>
        <v>14.308333333333334</v>
      </c>
      <c r="P75" s="57">
        <f t="shared" si="3"/>
        <v>343.4</v>
      </c>
    </row>
    <row r="76" spans="1:16">
      <c r="A76" s="57" t="s">
        <v>151</v>
      </c>
      <c r="B76" s="57">
        <v>75</v>
      </c>
      <c r="C76" s="57">
        <v>232</v>
      </c>
      <c r="D76" s="57">
        <v>232</v>
      </c>
      <c r="E76" s="57">
        <v>84</v>
      </c>
      <c r="F76" s="57">
        <v>84</v>
      </c>
      <c r="G76" s="57">
        <v>1740</v>
      </c>
      <c r="H76" s="57">
        <v>469</v>
      </c>
      <c r="I76" s="57">
        <v>348</v>
      </c>
      <c r="J76" s="57">
        <v>47</v>
      </c>
      <c r="K76" s="57">
        <v>42</v>
      </c>
      <c r="L76" s="57">
        <v>840</v>
      </c>
      <c r="M76" s="57">
        <v>168</v>
      </c>
      <c r="N76" s="57">
        <v>84</v>
      </c>
      <c r="O76" s="57">
        <f t="shared" si="2"/>
        <v>14.380165289256198</v>
      </c>
      <c r="P76" s="57">
        <f t="shared" si="3"/>
        <v>348</v>
      </c>
    </row>
    <row r="77" spans="1:16">
      <c r="A77" s="57" t="s">
        <v>151</v>
      </c>
      <c r="B77" s="57">
        <v>76</v>
      </c>
      <c r="C77" s="57">
        <v>235</v>
      </c>
      <c r="D77" s="57">
        <v>235</v>
      </c>
      <c r="E77" s="57">
        <v>85</v>
      </c>
      <c r="F77" s="57">
        <v>85</v>
      </c>
      <c r="G77" s="57">
        <v>1762</v>
      </c>
      <c r="H77" s="57">
        <v>475</v>
      </c>
      <c r="I77" s="57">
        <v>352</v>
      </c>
      <c r="J77" s="57">
        <v>47</v>
      </c>
      <c r="K77" s="57">
        <v>42</v>
      </c>
      <c r="L77" s="57">
        <v>850</v>
      </c>
      <c r="M77" s="57">
        <v>170</v>
      </c>
      <c r="N77" s="57">
        <v>85</v>
      </c>
      <c r="O77" s="57">
        <f t="shared" si="2"/>
        <v>14.325203252032521</v>
      </c>
      <c r="P77" s="57">
        <f t="shared" si="3"/>
        <v>352.4</v>
      </c>
    </row>
    <row r="78" spans="1:16">
      <c r="A78" s="57" t="s">
        <v>151</v>
      </c>
      <c r="B78" s="57">
        <v>77</v>
      </c>
      <c r="C78" s="57">
        <v>238</v>
      </c>
      <c r="D78" s="57">
        <v>238</v>
      </c>
      <c r="E78" s="57">
        <v>86</v>
      </c>
      <c r="F78" s="57">
        <v>86</v>
      </c>
      <c r="G78" s="57">
        <v>1785</v>
      </c>
      <c r="H78" s="57">
        <v>481</v>
      </c>
      <c r="I78" s="57">
        <v>357</v>
      </c>
      <c r="J78" s="57">
        <v>48</v>
      </c>
      <c r="K78" s="57">
        <v>43</v>
      </c>
      <c r="L78" s="57">
        <v>860</v>
      </c>
      <c r="M78" s="57">
        <v>172</v>
      </c>
      <c r="N78" s="57">
        <v>86</v>
      </c>
      <c r="O78" s="57">
        <f t="shared" si="2"/>
        <v>14.39516129032258</v>
      </c>
      <c r="P78" s="57">
        <f t="shared" si="3"/>
        <v>357</v>
      </c>
    </row>
    <row r="79" spans="1:16">
      <c r="A79" s="57" t="s">
        <v>151</v>
      </c>
      <c r="B79" s="57">
        <v>78</v>
      </c>
      <c r="C79" s="57">
        <v>241</v>
      </c>
      <c r="D79" s="57">
        <v>241</v>
      </c>
      <c r="E79" s="57">
        <v>87</v>
      </c>
      <c r="F79" s="57">
        <v>87</v>
      </c>
      <c r="G79" s="57">
        <v>1807</v>
      </c>
      <c r="H79" s="57">
        <v>487</v>
      </c>
      <c r="I79" s="57">
        <v>361</v>
      </c>
      <c r="J79" s="57">
        <v>48</v>
      </c>
      <c r="K79" s="57">
        <v>43</v>
      </c>
      <c r="L79" s="57">
        <v>870</v>
      </c>
      <c r="M79" s="57">
        <v>174</v>
      </c>
      <c r="N79" s="57">
        <v>87</v>
      </c>
      <c r="O79" s="57">
        <f t="shared" si="2"/>
        <v>14.341269841269842</v>
      </c>
      <c r="P79" s="57">
        <f t="shared" si="3"/>
        <v>361.4</v>
      </c>
    </row>
    <row r="80" spans="1:16">
      <c r="A80" s="57" t="s">
        <v>151</v>
      </c>
      <c r="B80" s="57">
        <v>79</v>
      </c>
      <c r="C80" s="57">
        <v>244</v>
      </c>
      <c r="D80" s="57">
        <v>244</v>
      </c>
      <c r="E80" s="57">
        <v>88</v>
      </c>
      <c r="F80" s="57">
        <v>88</v>
      </c>
      <c r="G80" s="57">
        <v>1830</v>
      </c>
      <c r="H80" s="57">
        <v>493</v>
      </c>
      <c r="I80" s="57">
        <v>366</v>
      </c>
      <c r="J80" s="57">
        <v>49</v>
      </c>
      <c r="K80" s="57">
        <v>44</v>
      </c>
      <c r="L80" s="57">
        <v>880</v>
      </c>
      <c r="M80" s="57">
        <v>176</v>
      </c>
      <c r="N80" s="57">
        <v>88</v>
      </c>
      <c r="O80" s="57">
        <f t="shared" si="2"/>
        <v>14.409448818897637</v>
      </c>
      <c r="P80" s="57">
        <f t="shared" si="3"/>
        <v>366</v>
      </c>
    </row>
    <row r="81" spans="1:16">
      <c r="A81" s="57" t="s">
        <v>151</v>
      </c>
      <c r="B81" s="57">
        <v>80</v>
      </c>
      <c r="C81" s="57">
        <v>247</v>
      </c>
      <c r="D81" s="57">
        <v>247</v>
      </c>
      <c r="E81" s="57">
        <v>89</v>
      </c>
      <c r="F81" s="57">
        <v>89</v>
      </c>
      <c r="G81" s="57">
        <v>1852</v>
      </c>
      <c r="H81" s="57">
        <v>499</v>
      </c>
      <c r="I81" s="57">
        <v>370</v>
      </c>
      <c r="J81" s="57">
        <v>49</v>
      </c>
      <c r="K81" s="57">
        <v>44</v>
      </c>
      <c r="L81" s="57">
        <v>890</v>
      </c>
      <c r="M81" s="57">
        <v>178</v>
      </c>
      <c r="N81" s="57">
        <v>89</v>
      </c>
      <c r="O81" s="57">
        <f t="shared" si="2"/>
        <v>14.356589147286822</v>
      </c>
      <c r="P81" s="57">
        <f t="shared" si="3"/>
        <v>370.4</v>
      </c>
    </row>
    <row r="82" spans="1:16">
      <c r="A82" s="57" t="s">
        <v>151</v>
      </c>
      <c r="B82" s="57">
        <v>81</v>
      </c>
      <c r="C82" s="57">
        <v>250</v>
      </c>
      <c r="D82" s="57">
        <v>250</v>
      </c>
      <c r="E82" s="57">
        <v>90</v>
      </c>
      <c r="F82" s="57">
        <v>90</v>
      </c>
      <c r="G82" s="57">
        <v>1875</v>
      </c>
      <c r="H82" s="57">
        <v>505</v>
      </c>
      <c r="I82" s="57">
        <v>375</v>
      </c>
      <c r="J82" s="57">
        <v>50</v>
      </c>
      <c r="K82" s="57">
        <v>45</v>
      </c>
      <c r="L82" s="57">
        <v>900</v>
      </c>
      <c r="M82" s="57">
        <v>180</v>
      </c>
      <c r="N82" s="57">
        <v>90</v>
      </c>
      <c r="O82" s="57">
        <f t="shared" si="2"/>
        <v>14.423076923076923</v>
      </c>
      <c r="P82" s="57">
        <f t="shared" si="3"/>
        <v>375</v>
      </c>
    </row>
    <row r="83" spans="1:16">
      <c r="A83" s="57" t="s">
        <v>151</v>
      </c>
      <c r="B83" s="57">
        <v>82</v>
      </c>
      <c r="C83" s="57">
        <v>253</v>
      </c>
      <c r="D83" s="57">
        <v>253</v>
      </c>
      <c r="E83" s="57">
        <v>91</v>
      </c>
      <c r="F83" s="57">
        <v>91</v>
      </c>
      <c r="G83" s="57">
        <v>1897</v>
      </c>
      <c r="H83" s="57">
        <v>511</v>
      </c>
      <c r="I83" s="57">
        <v>379</v>
      </c>
      <c r="J83" s="57">
        <v>50</v>
      </c>
      <c r="K83" s="57">
        <v>45</v>
      </c>
      <c r="L83" s="57">
        <v>910</v>
      </c>
      <c r="M83" s="57">
        <v>182</v>
      </c>
      <c r="N83" s="57">
        <v>91</v>
      </c>
      <c r="O83" s="57">
        <f t="shared" si="2"/>
        <v>14.371212121212121</v>
      </c>
      <c r="P83" s="57">
        <f t="shared" si="3"/>
        <v>379.4</v>
      </c>
    </row>
    <row r="84" spans="1:16">
      <c r="A84" s="57" t="s">
        <v>151</v>
      </c>
      <c r="B84" s="57">
        <v>83</v>
      </c>
      <c r="C84" s="57">
        <v>256</v>
      </c>
      <c r="D84" s="57">
        <v>256</v>
      </c>
      <c r="E84" s="57">
        <v>92</v>
      </c>
      <c r="F84" s="57">
        <v>92</v>
      </c>
      <c r="G84" s="57">
        <v>1920</v>
      </c>
      <c r="H84" s="57">
        <v>517</v>
      </c>
      <c r="I84" s="57">
        <v>384</v>
      </c>
      <c r="J84" s="57">
        <v>51</v>
      </c>
      <c r="K84" s="57">
        <v>46</v>
      </c>
      <c r="L84" s="57">
        <v>920</v>
      </c>
      <c r="M84" s="57">
        <v>184</v>
      </c>
      <c r="N84" s="57">
        <v>92</v>
      </c>
      <c r="O84" s="57">
        <f t="shared" si="2"/>
        <v>14.436090225563909</v>
      </c>
      <c r="P84" s="57">
        <f t="shared" si="3"/>
        <v>384</v>
      </c>
    </row>
    <row r="85" spans="1:16">
      <c r="A85" s="57" t="s">
        <v>151</v>
      </c>
      <c r="B85" s="57">
        <v>84</v>
      </c>
      <c r="C85" s="57">
        <v>259</v>
      </c>
      <c r="D85" s="57">
        <v>259</v>
      </c>
      <c r="E85" s="57">
        <v>93</v>
      </c>
      <c r="F85" s="57">
        <v>93</v>
      </c>
      <c r="G85" s="57">
        <v>1942</v>
      </c>
      <c r="H85" s="57">
        <v>523</v>
      </c>
      <c r="I85" s="57">
        <v>388</v>
      </c>
      <c r="J85" s="57">
        <v>51</v>
      </c>
      <c r="K85" s="57">
        <v>46</v>
      </c>
      <c r="L85" s="57">
        <v>930</v>
      </c>
      <c r="M85" s="57">
        <v>186</v>
      </c>
      <c r="N85" s="57">
        <v>93</v>
      </c>
      <c r="O85" s="57">
        <f t="shared" si="2"/>
        <v>14.385185185185184</v>
      </c>
      <c r="P85" s="57">
        <f t="shared" si="3"/>
        <v>388.4</v>
      </c>
    </row>
    <row r="86" spans="1:16">
      <c r="A86" s="57" t="s">
        <v>151</v>
      </c>
      <c r="B86" s="57">
        <v>85</v>
      </c>
      <c r="C86" s="57">
        <v>262</v>
      </c>
      <c r="D86" s="57">
        <v>262</v>
      </c>
      <c r="E86" s="57">
        <v>94</v>
      </c>
      <c r="F86" s="57">
        <v>94</v>
      </c>
      <c r="G86" s="57">
        <v>1965</v>
      </c>
      <c r="H86" s="57">
        <v>529</v>
      </c>
      <c r="I86" s="57">
        <v>393</v>
      </c>
      <c r="J86" s="57">
        <v>52</v>
      </c>
      <c r="K86" s="57">
        <v>47</v>
      </c>
      <c r="L86" s="57">
        <v>940</v>
      </c>
      <c r="M86" s="57">
        <v>188</v>
      </c>
      <c r="N86" s="57">
        <v>94</v>
      </c>
      <c r="O86" s="57">
        <f t="shared" si="2"/>
        <v>14.448529411764707</v>
      </c>
      <c r="P86" s="57">
        <f t="shared" si="3"/>
        <v>393</v>
      </c>
    </row>
    <row r="87" spans="1:16">
      <c r="A87" s="57" t="s">
        <v>151</v>
      </c>
      <c r="B87" s="57">
        <v>86</v>
      </c>
      <c r="C87" s="57">
        <v>265</v>
      </c>
      <c r="D87" s="57">
        <v>265</v>
      </c>
      <c r="E87" s="57">
        <v>95</v>
      </c>
      <c r="F87" s="57">
        <v>95</v>
      </c>
      <c r="G87" s="57">
        <v>1987</v>
      </c>
      <c r="H87" s="57">
        <v>535</v>
      </c>
      <c r="I87" s="57">
        <v>397</v>
      </c>
      <c r="J87" s="57">
        <v>52</v>
      </c>
      <c r="K87" s="57">
        <v>47</v>
      </c>
      <c r="L87" s="57">
        <v>950</v>
      </c>
      <c r="M87" s="57">
        <v>190</v>
      </c>
      <c r="N87" s="57">
        <v>95</v>
      </c>
      <c r="O87" s="57">
        <f t="shared" si="2"/>
        <v>14.398550724637682</v>
      </c>
      <c r="P87" s="57">
        <f t="shared" si="3"/>
        <v>397.4</v>
      </c>
    </row>
    <row r="88" spans="1:16">
      <c r="A88" s="57" t="s">
        <v>151</v>
      </c>
      <c r="B88" s="57">
        <v>87</v>
      </c>
      <c r="C88" s="57">
        <v>268</v>
      </c>
      <c r="D88" s="57">
        <v>268</v>
      </c>
      <c r="E88" s="57">
        <v>96</v>
      </c>
      <c r="F88" s="57">
        <v>96</v>
      </c>
      <c r="G88" s="57">
        <v>2010</v>
      </c>
      <c r="H88" s="57">
        <v>541</v>
      </c>
      <c r="I88" s="57">
        <v>402</v>
      </c>
      <c r="J88" s="57">
        <v>53</v>
      </c>
      <c r="K88" s="57">
        <v>48</v>
      </c>
      <c r="L88" s="57">
        <v>960</v>
      </c>
      <c r="M88" s="57">
        <v>192</v>
      </c>
      <c r="N88" s="57">
        <v>96</v>
      </c>
      <c r="O88" s="57">
        <f t="shared" si="2"/>
        <v>14.46043165467626</v>
      </c>
      <c r="P88" s="57">
        <f t="shared" si="3"/>
        <v>402</v>
      </c>
    </row>
    <row r="89" spans="1:16">
      <c r="A89" s="57" t="s">
        <v>151</v>
      </c>
      <c r="B89" s="57">
        <v>88</v>
      </c>
      <c r="C89" s="57">
        <v>271</v>
      </c>
      <c r="D89" s="57">
        <v>271</v>
      </c>
      <c r="E89" s="57">
        <v>97</v>
      </c>
      <c r="F89" s="57">
        <v>97</v>
      </c>
      <c r="G89" s="57">
        <v>2032</v>
      </c>
      <c r="H89" s="57">
        <v>547</v>
      </c>
      <c r="I89" s="57">
        <v>406</v>
      </c>
      <c r="J89" s="57">
        <v>53</v>
      </c>
      <c r="K89" s="57">
        <v>48</v>
      </c>
      <c r="L89" s="57">
        <v>970</v>
      </c>
      <c r="M89" s="57">
        <v>194</v>
      </c>
      <c r="N89" s="57">
        <v>97</v>
      </c>
      <c r="O89" s="57">
        <f t="shared" si="2"/>
        <v>14.411347517730496</v>
      </c>
      <c r="P89" s="57">
        <f t="shared" si="3"/>
        <v>406.4</v>
      </c>
    </row>
    <row r="90" spans="1:16">
      <c r="A90" s="57" t="s">
        <v>151</v>
      </c>
      <c r="B90" s="57">
        <v>89</v>
      </c>
      <c r="C90" s="57">
        <v>274</v>
      </c>
      <c r="D90" s="57">
        <v>274</v>
      </c>
      <c r="E90" s="57">
        <v>98</v>
      </c>
      <c r="F90" s="57">
        <v>98</v>
      </c>
      <c r="G90" s="57">
        <v>2055</v>
      </c>
      <c r="H90" s="57">
        <v>553</v>
      </c>
      <c r="I90" s="57">
        <v>411</v>
      </c>
      <c r="J90" s="57">
        <v>54</v>
      </c>
      <c r="K90" s="57">
        <v>49</v>
      </c>
      <c r="L90" s="57">
        <v>980</v>
      </c>
      <c r="M90" s="57">
        <v>196</v>
      </c>
      <c r="N90" s="57">
        <v>98</v>
      </c>
      <c r="O90" s="57">
        <f t="shared" si="2"/>
        <v>14.471830985915492</v>
      </c>
      <c r="P90" s="57">
        <f t="shared" si="3"/>
        <v>411</v>
      </c>
    </row>
    <row r="91" spans="1:16">
      <c r="A91" s="57" t="s">
        <v>151</v>
      </c>
      <c r="B91" s="57">
        <v>90</v>
      </c>
      <c r="C91" s="57">
        <v>277</v>
      </c>
      <c r="D91" s="57">
        <v>277</v>
      </c>
      <c r="E91" s="57">
        <v>99</v>
      </c>
      <c r="F91" s="57">
        <v>99</v>
      </c>
      <c r="G91" s="57">
        <v>2077</v>
      </c>
      <c r="H91" s="57">
        <v>559</v>
      </c>
      <c r="I91" s="57">
        <v>415</v>
      </c>
      <c r="J91" s="57">
        <v>54</v>
      </c>
      <c r="K91" s="57">
        <v>49</v>
      </c>
      <c r="L91" s="57">
        <v>990</v>
      </c>
      <c r="M91" s="57">
        <v>198</v>
      </c>
      <c r="N91" s="57">
        <v>99</v>
      </c>
      <c r="O91" s="57">
        <f t="shared" si="2"/>
        <v>14.423611111111111</v>
      </c>
      <c r="P91" s="57">
        <f t="shared" si="3"/>
        <v>415.4</v>
      </c>
    </row>
    <row r="92" spans="1:16">
      <c r="A92" s="57" t="s">
        <v>151</v>
      </c>
      <c r="B92" s="57">
        <v>91</v>
      </c>
      <c r="C92" s="57">
        <v>280</v>
      </c>
      <c r="D92" s="57">
        <v>280</v>
      </c>
      <c r="E92" s="57">
        <v>100</v>
      </c>
      <c r="F92" s="57">
        <v>100</v>
      </c>
      <c r="G92" s="57">
        <v>2100</v>
      </c>
      <c r="H92" s="57">
        <v>565</v>
      </c>
      <c r="I92" s="57">
        <v>420</v>
      </c>
      <c r="J92" s="57">
        <v>55</v>
      </c>
      <c r="K92" s="57">
        <v>50</v>
      </c>
      <c r="L92" s="57">
        <v>1000</v>
      </c>
      <c r="M92" s="57">
        <v>200</v>
      </c>
      <c r="N92" s="57">
        <v>100</v>
      </c>
      <c r="O92" s="57">
        <f t="shared" si="2"/>
        <v>14.482758620689655</v>
      </c>
      <c r="P92" s="57">
        <f t="shared" si="3"/>
        <v>420</v>
      </c>
    </row>
    <row r="93" spans="1:16">
      <c r="A93" s="57" t="s">
        <v>151</v>
      </c>
      <c r="B93" s="57">
        <v>92</v>
      </c>
      <c r="C93" s="57">
        <v>283</v>
      </c>
      <c r="D93" s="57">
        <v>283</v>
      </c>
      <c r="E93" s="57">
        <v>101</v>
      </c>
      <c r="F93" s="57">
        <v>101</v>
      </c>
      <c r="G93" s="57">
        <v>2122</v>
      </c>
      <c r="H93" s="57">
        <v>571</v>
      </c>
      <c r="I93" s="57">
        <v>424</v>
      </c>
      <c r="J93" s="57">
        <v>55</v>
      </c>
      <c r="K93" s="57">
        <v>50</v>
      </c>
      <c r="L93" s="57">
        <v>1010</v>
      </c>
      <c r="M93" s="57">
        <v>202</v>
      </c>
      <c r="N93" s="57">
        <v>101</v>
      </c>
      <c r="O93" s="57">
        <f t="shared" si="2"/>
        <v>14.435374149659864</v>
      </c>
      <c r="P93" s="57">
        <f t="shared" si="3"/>
        <v>424.4</v>
      </c>
    </row>
    <row r="94" spans="1:16">
      <c r="A94" s="57" t="s">
        <v>151</v>
      </c>
      <c r="B94" s="57">
        <v>93</v>
      </c>
      <c r="C94" s="57">
        <v>286</v>
      </c>
      <c r="D94" s="57">
        <v>286</v>
      </c>
      <c r="E94" s="57">
        <v>102</v>
      </c>
      <c r="F94" s="57">
        <v>102</v>
      </c>
      <c r="G94" s="57">
        <v>2145</v>
      </c>
      <c r="H94" s="57">
        <v>577</v>
      </c>
      <c r="I94" s="57">
        <v>429</v>
      </c>
      <c r="J94" s="57">
        <v>56</v>
      </c>
      <c r="K94" s="57">
        <v>51</v>
      </c>
      <c r="L94" s="57">
        <v>1020</v>
      </c>
      <c r="M94" s="57">
        <v>204</v>
      </c>
      <c r="N94" s="57">
        <v>102</v>
      </c>
      <c r="O94" s="57">
        <f t="shared" si="2"/>
        <v>14.493243243243244</v>
      </c>
      <c r="P94" s="57">
        <f t="shared" si="3"/>
        <v>429</v>
      </c>
    </row>
    <row r="95" spans="1:16">
      <c r="A95" s="57" t="s">
        <v>151</v>
      </c>
      <c r="B95" s="57">
        <v>94</v>
      </c>
      <c r="C95" s="57">
        <v>289</v>
      </c>
      <c r="D95" s="57">
        <v>289</v>
      </c>
      <c r="E95" s="57">
        <v>103</v>
      </c>
      <c r="F95" s="57">
        <v>103</v>
      </c>
      <c r="G95" s="57">
        <v>2167</v>
      </c>
      <c r="H95" s="57">
        <v>583</v>
      </c>
      <c r="I95" s="57">
        <v>433</v>
      </c>
      <c r="J95" s="57">
        <v>56</v>
      </c>
      <c r="K95" s="57">
        <v>51</v>
      </c>
      <c r="L95" s="57">
        <v>1030</v>
      </c>
      <c r="M95" s="57">
        <v>206</v>
      </c>
      <c r="N95" s="57">
        <v>103</v>
      </c>
      <c r="O95" s="57">
        <f t="shared" si="2"/>
        <v>14.446666666666667</v>
      </c>
      <c r="P95" s="57">
        <f t="shared" si="3"/>
        <v>433.4</v>
      </c>
    </row>
    <row r="96" spans="1:16">
      <c r="A96" s="57" t="s">
        <v>151</v>
      </c>
      <c r="B96" s="57">
        <v>95</v>
      </c>
      <c r="C96" s="57">
        <v>292</v>
      </c>
      <c r="D96" s="57">
        <v>292</v>
      </c>
      <c r="E96" s="57">
        <v>104</v>
      </c>
      <c r="F96" s="57">
        <v>104</v>
      </c>
      <c r="G96" s="57">
        <v>2190</v>
      </c>
      <c r="H96" s="57">
        <v>589</v>
      </c>
      <c r="I96" s="57">
        <v>438</v>
      </c>
      <c r="J96" s="57">
        <v>57</v>
      </c>
      <c r="K96" s="57">
        <v>52</v>
      </c>
      <c r="L96" s="57">
        <v>1040</v>
      </c>
      <c r="M96" s="57">
        <v>208</v>
      </c>
      <c r="N96" s="57">
        <v>104</v>
      </c>
      <c r="O96" s="57">
        <f t="shared" si="2"/>
        <v>14.503311258278146</v>
      </c>
      <c r="P96" s="57">
        <f t="shared" si="3"/>
        <v>438</v>
      </c>
    </row>
    <row r="97" spans="1:16">
      <c r="A97" s="57" t="s">
        <v>151</v>
      </c>
      <c r="B97" s="57">
        <v>96</v>
      </c>
      <c r="C97" s="57">
        <v>295</v>
      </c>
      <c r="D97" s="57">
        <v>295</v>
      </c>
      <c r="E97" s="57">
        <v>105</v>
      </c>
      <c r="F97" s="57">
        <v>105</v>
      </c>
      <c r="G97" s="57">
        <v>2212</v>
      </c>
      <c r="H97" s="57">
        <v>595</v>
      </c>
      <c r="I97" s="57">
        <v>442</v>
      </c>
      <c r="J97" s="57">
        <v>57</v>
      </c>
      <c r="K97" s="57">
        <v>52</v>
      </c>
      <c r="L97" s="57">
        <v>1050</v>
      </c>
      <c r="M97" s="57">
        <v>210</v>
      </c>
      <c r="N97" s="57">
        <v>105</v>
      </c>
      <c r="O97" s="57">
        <f t="shared" si="2"/>
        <v>14.457516339869281</v>
      </c>
      <c r="P97" s="57">
        <f t="shared" si="3"/>
        <v>442.4</v>
      </c>
    </row>
    <row r="98" spans="1:16">
      <c r="A98" s="57" t="s">
        <v>151</v>
      </c>
      <c r="B98" s="57">
        <v>97</v>
      </c>
      <c r="C98" s="57">
        <v>298</v>
      </c>
      <c r="D98" s="57">
        <v>298</v>
      </c>
      <c r="E98" s="57">
        <v>106</v>
      </c>
      <c r="F98" s="57">
        <v>106</v>
      </c>
      <c r="G98" s="57">
        <v>2235</v>
      </c>
      <c r="H98" s="57">
        <v>601</v>
      </c>
      <c r="I98" s="57">
        <v>447</v>
      </c>
      <c r="J98" s="57">
        <v>58</v>
      </c>
      <c r="K98" s="57">
        <v>53</v>
      </c>
      <c r="L98" s="57">
        <v>1060</v>
      </c>
      <c r="M98" s="57">
        <v>212</v>
      </c>
      <c r="N98" s="57">
        <v>106</v>
      </c>
      <c r="O98" s="57">
        <f t="shared" si="2"/>
        <v>14.512987012987013</v>
      </c>
      <c r="P98" s="57">
        <f t="shared" si="3"/>
        <v>447</v>
      </c>
    </row>
    <row r="99" spans="1:16">
      <c r="A99" s="57" t="s">
        <v>151</v>
      </c>
      <c r="B99" s="57">
        <v>98</v>
      </c>
      <c r="C99" s="57">
        <v>301</v>
      </c>
      <c r="D99" s="57">
        <v>301</v>
      </c>
      <c r="E99" s="57">
        <v>107</v>
      </c>
      <c r="F99" s="57">
        <v>107</v>
      </c>
      <c r="G99" s="57">
        <v>2257</v>
      </c>
      <c r="H99" s="57">
        <v>607</v>
      </c>
      <c r="I99" s="57">
        <v>451</v>
      </c>
      <c r="J99" s="57">
        <v>58</v>
      </c>
      <c r="K99" s="57">
        <v>53</v>
      </c>
      <c r="L99" s="57">
        <v>1070</v>
      </c>
      <c r="M99" s="57">
        <v>214</v>
      </c>
      <c r="N99" s="57">
        <v>107</v>
      </c>
      <c r="O99" s="57">
        <f t="shared" si="2"/>
        <v>14.467948717948717</v>
      </c>
      <c r="P99" s="57">
        <f t="shared" si="3"/>
        <v>451.4</v>
      </c>
    </row>
    <row r="100" spans="1:16">
      <c r="A100" s="57" t="s">
        <v>151</v>
      </c>
      <c r="B100" s="57">
        <v>99</v>
      </c>
      <c r="C100" s="57">
        <v>304</v>
      </c>
      <c r="D100" s="57">
        <v>304</v>
      </c>
      <c r="E100" s="57">
        <v>108</v>
      </c>
      <c r="F100" s="57">
        <v>108</v>
      </c>
      <c r="G100" s="57">
        <v>2280</v>
      </c>
      <c r="H100" s="57">
        <v>613</v>
      </c>
      <c r="I100" s="57">
        <v>456</v>
      </c>
      <c r="J100" s="57">
        <v>59</v>
      </c>
      <c r="K100" s="57">
        <v>54</v>
      </c>
      <c r="L100" s="57">
        <v>1080</v>
      </c>
      <c r="M100" s="57">
        <v>216</v>
      </c>
      <c r="N100" s="57">
        <v>108</v>
      </c>
      <c r="O100" s="57">
        <f t="shared" si="2"/>
        <v>14.522292993630574</v>
      </c>
      <c r="P100" s="57">
        <f t="shared" si="3"/>
        <v>456</v>
      </c>
    </row>
    <row r="101" spans="1:16">
      <c r="A101" s="57" t="s">
        <v>151</v>
      </c>
      <c r="B101" s="57">
        <v>100</v>
      </c>
      <c r="C101" s="57">
        <v>307</v>
      </c>
      <c r="D101" s="57">
        <v>307</v>
      </c>
      <c r="E101" s="57">
        <v>109</v>
      </c>
      <c r="F101" s="57">
        <v>109</v>
      </c>
      <c r="G101" s="57">
        <v>2302</v>
      </c>
      <c r="H101" s="57">
        <v>619</v>
      </c>
      <c r="I101" s="57">
        <v>460</v>
      </c>
      <c r="J101" s="57">
        <v>59</v>
      </c>
      <c r="K101" s="57">
        <v>54</v>
      </c>
      <c r="L101" s="57">
        <v>1090</v>
      </c>
      <c r="M101" s="57">
        <v>218</v>
      </c>
      <c r="N101" s="57">
        <v>109</v>
      </c>
      <c r="O101" s="57">
        <f t="shared" si="2"/>
        <v>14.477987421383649</v>
      </c>
      <c r="P101" s="57">
        <f t="shared" si="3"/>
        <v>460.4</v>
      </c>
    </row>
  </sheetData>
  <phoneticPr fontId="1" type="noConversion"/>
  <pageMargins left="0.7" right="0.7" top="0.75" bottom="0.75" header="0.3" footer="0.3"/>
  <legacyDrawing r:id="rId1"/>
  <controls>
    <control shapeId="8193" r:id="rId2" name="CommandButton1"/>
  </control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P101"/>
  <sheetViews>
    <sheetView topLeftCell="A15" workbookViewId="0">
      <selection activeCell="A31" sqref="A31:XFD31"/>
    </sheetView>
  </sheetViews>
  <sheetFormatPr defaultRowHeight="13.5"/>
  <sheetData>
    <row r="1" spans="1:16">
      <c r="A1" t="s">
        <v>0</v>
      </c>
      <c r="B1" t="s">
        <v>137</v>
      </c>
      <c r="C1" t="s">
        <v>8</v>
      </c>
      <c r="D1" t="s">
        <v>10</v>
      </c>
      <c r="E1" t="s">
        <v>12</v>
      </c>
      <c r="F1" t="s">
        <v>14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</row>
    <row r="2" spans="1:16">
      <c r="A2" t="s">
        <v>4</v>
      </c>
      <c r="B2">
        <v>1</v>
      </c>
      <c r="C2">
        <v>10</v>
      </c>
      <c r="D2">
        <v>10</v>
      </c>
      <c r="E2">
        <v>10</v>
      </c>
      <c r="F2">
        <v>10</v>
      </c>
      <c r="G2">
        <v>50</v>
      </c>
      <c r="H2">
        <v>30</v>
      </c>
      <c r="I2">
        <v>10</v>
      </c>
      <c r="J2">
        <v>10</v>
      </c>
      <c r="K2">
        <v>7</v>
      </c>
      <c r="L2">
        <v>125</v>
      </c>
      <c r="M2">
        <v>50</v>
      </c>
      <c r="N2">
        <v>12</v>
      </c>
      <c r="O2">
        <f>G2/(H2-I2)</f>
        <v>2.5</v>
      </c>
      <c r="P2">
        <f>G2/(J2-K2)</f>
        <v>16.666666666666668</v>
      </c>
    </row>
    <row r="3" spans="1:16">
      <c r="A3" t="s">
        <v>4</v>
      </c>
      <c r="B3">
        <v>2</v>
      </c>
      <c r="C3">
        <v>12</v>
      </c>
      <c r="D3">
        <v>13</v>
      </c>
      <c r="E3">
        <v>12</v>
      </c>
      <c r="F3">
        <v>11</v>
      </c>
      <c r="G3">
        <v>60</v>
      </c>
      <c r="H3">
        <v>39</v>
      </c>
      <c r="I3">
        <v>13</v>
      </c>
      <c r="J3">
        <v>11</v>
      </c>
      <c r="K3">
        <v>8</v>
      </c>
      <c r="L3">
        <v>150</v>
      </c>
      <c r="M3">
        <v>60</v>
      </c>
      <c r="N3">
        <v>15</v>
      </c>
      <c r="O3">
        <f t="shared" ref="O3:O66" si="0">G3/(H3-I3)</f>
        <v>2.3076923076923075</v>
      </c>
      <c r="P3">
        <f t="shared" ref="P3:P66" si="1">G3/(J3-K3)</f>
        <v>20</v>
      </c>
    </row>
    <row r="4" spans="1:16">
      <c r="A4" t="s">
        <v>4</v>
      </c>
      <c r="B4">
        <v>3</v>
      </c>
      <c r="C4">
        <v>14</v>
      </c>
      <c r="D4">
        <v>16</v>
      </c>
      <c r="E4">
        <v>14</v>
      </c>
      <c r="F4">
        <v>12</v>
      </c>
      <c r="G4">
        <v>70</v>
      </c>
      <c r="H4">
        <v>48</v>
      </c>
      <c r="I4">
        <v>16</v>
      </c>
      <c r="J4">
        <v>12</v>
      </c>
      <c r="K4">
        <v>9</v>
      </c>
      <c r="L4">
        <v>175</v>
      </c>
      <c r="M4">
        <v>70</v>
      </c>
      <c r="N4">
        <v>17</v>
      </c>
      <c r="O4">
        <f t="shared" si="0"/>
        <v>2.1875</v>
      </c>
      <c r="P4">
        <f t="shared" si="1"/>
        <v>23.333333333333332</v>
      </c>
    </row>
    <row r="5" spans="1:16">
      <c r="A5" t="s">
        <v>4</v>
      </c>
      <c r="B5">
        <v>4</v>
      </c>
      <c r="C5">
        <v>16</v>
      </c>
      <c r="D5">
        <v>19</v>
      </c>
      <c r="E5">
        <v>16</v>
      </c>
      <c r="F5">
        <v>13</v>
      </c>
      <c r="G5">
        <v>80</v>
      </c>
      <c r="H5">
        <v>57</v>
      </c>
      <c r="I5">
        <v>19</v>
      </c>
      <c r="J5">
        <v>13</v>
      </c>
      <c r="K5">
        <v>9</v>
      </c>
      <c r="L5">
        <v>200</v>
      </c>
      <c r="M5">
        <v>80</v>
      </c>
      <c r="N5">
        <v>20</v>
      </c>
      <c r="O5">
        <f t="shared" si="0"/>
        <v>2.1052631578947367</v>
      </c>
      <c r="P5">
        <f t="shared" si="1"/>
        <v>20</v>
      </c>
    </row>
    <row r="6" spans="1:16">
      <c r="A6" t="s">
        <v>4</v>
      </c>
      <c r="B6">
        <v>5</v>
      </c>
      <c r="C6">
        <v>18</v>
      </c>
      <c r="D6">
        <v>22</v>
      </c>
      <c r="E6">
        <v>18</v>
      </c>
      <c r="F6">
        <v>14</v>
      </c>
      <c r="G6">
        <v>90</v>
      </c>
      <c r="H6">
        <v>66</v>
      </c>
      <c r="I6">
        <v>22</v>
      </c>
      <c r="J6">
        <v>14</v>
      </c>
      <c r="K6">
        <v>10</v>
      </c>
      <c r="L6">
        <v>225</v>
      </c>
      <c r="M6">
        <v>90</v>
      </c>
      <c r="N6">
        <v>22</v>
      </c>
      <c r="O6">
        <f t="shared" si="0"/>
        <v>2.0454545454545454</v>
      </c>
      <c r="P6">
        <f t="shared" si="1"/>
        <v>22.5</v>
      </c>
    </row>
    <row r="7" spans="1:16">
      <c r="A7" t="s">
        <v>4</v>
      </c>
      <c r="B7">
        <v>6</v>
      </c>
      <c r="C7">
        <v>20</v>
      </c>
      <c r="D7">
        <v>25</v>
      </c>
      <c r="E7">
        <v>20</v>
      </c>
      <c r="F7">
        <v>15</v>
      </c>
      <c r="G7">
        <v>100</v>
      </c>
      <c r="H7">
        <v>75</v>
      </c>
      <c r="I7">
        <v>25</v>
      </c>
      <c r="J7">
        <v>15</v>
      </c>
      <c r="K7">
        <v>11</v>
      </c>
      <c r="L7">
        <v>250</v>
      </c>
      <c r="M7">
        <v>100</v>
      </c>
      <c r="N7">
        <v>25</v>
      </c>
      <c r="O7">
        <f t="shared" si="0"/>
        <v>2</v>
      </c>
      <c r="P7">
        <f t="shared" si="1"/>
        <v>25</v>
      </c>
    </row>
    <row r="8" spans="1:16">
      <c r="A8" t="s">
        <v>4</v>
      </c>
      <c r="B8">
        <v>7</v>
      </c>
      <c r="C8">
        <v>22</v>
      </c>
      <c r="D8">
        <v>28</v>
      </c>
      <c r="E8">
        <v>22</v>
      </c>
      <c r="F8">
        <v>16</v>
      </c>
      <c r="G8">
        <v>110</v>
      </c>
      <c r="H8">
        <v>84</v>
      </c>
      <c r="I8">
        <v>28</v>
      </c>
      <c r="J8">
        <v>16</v>
      </c>
      <c r="K8">
        <v>12</v>
      </c>
      <c r="L8">
        <v>275</v>
      </c>
      <c r="M8">
        <v>110</v>
      </c>
      <c r="N8">
        <v>27</v>
      </c>
      <c r="O8">
        <f t="shared" si="0"/>
        <v>1.9642857142857142</v>
      </c>
      <c r="P8">
        <f t="shared" si="1"/>
        <v>27.5</v>
      </c>
    </row>
    <row r="9" spans="1:16">
      <c r="A9" t="s">
        <v>4</v>
      </c>
      <c r="B9">
        <v>8</v>
      </c>
      <c r="C9">
        <v>24</v>
      </c>
      <c r="D9">
        <v>31</v>
      </c>
      <c r="E9">
        <v>24</v>
      </c>
      <c r="F9">
        <v>17</v>
      </c>
      <c r="G9">
        <v>120</v>
      </c>
      <c r="H9">
        <v>93</v>
      </c>
      <c r="I9">
        <v>31</v>
      </c>
      <c r="J9">
        <v>17</v>
      </c>
      <c r="K9">
        <v>12</v>
      </c>
      <c r="L9">
        <v>300</v>
      </c>
      <c r="M9">
        <v>120</v>
      </c>
      <c r="N9">
        <v>30</v>
      </c>
      <c r="O9">
        <f t="shared" si="0"/>
        <v>1.935483870967742</v>
      </c>
      <c r="P9">
        <f t="shared" si="1"/>
        <v>24</v>
      </c>
    </row>
    <row r="10" spans="1:16">
      <c r="A10" t="s">
        <v>4</v>
      </c>
      <c r="B10">
        <v>9</v>
      </c>
      <c r="C10">
        <v>26</v>
      </c>
      <c r="D10">
        <v>34</v>
      </c>
      <c r="E10">
        <v>26</v>
      </c>
      <c r="F10">
        <v>18</v>
      </c>
      <c r="G10">
        <v>130</v>
      </c>
      <c r="H10">
        <v>102</v>
      </c>
      <c r="I10">
        <v>34</v>
      </c>
      <c r="J10">
        <v>18</v>
      </c>
      <c r="K10">
        <v>13</v>
      </c>
      <c r="L10">
        <v>325</v>
      </c>
      <c r="M10">
        <v>130</v>
      </c>
      <c r="N10">
        <v>32</v>
      </c>
      <c r="O10">
        <f t="shared" si="0"/>
        <v>1.911764705882353</v>
      </c>
      <c r="P10">
        <f t="shared" si="1"/>
        <v>26</v>
      </c>
    </row>
    <row r="11" spans="1:16">
      <c r="A11" t="s">
        <v>4</v>
      </c>
      <c r="B11">
        <v>10</v>
      </c>
      <c r="C11">
        <v>28</v>
      </c>
      <c r="D11">
        <v>37</v>
      </c>
      <c r="E11">
        <v>28</v>
      </c>
      <c r="F11">
        <v>19</v>
      </c>
      <c r="G11">
        <v>140</v>
      </c>
      <c r="H11">
        <v>111</v>
      </c>
      <c r="I11">
        <v>37</v>
      </c>
      <c r="J11">
        <v>19</v>
      </c>
      <c r="K11">
        <v>14</v>
      </c>
      <c r="L11">
        <v>350</v>
      </c>
      <c r="M11">
        <v>140</v>
      </c>
      <c r="N11">
        <v>35</v>
      </c>
      <c r="O11">
        <f t="shared" si="0"/>
        <v>1.8918918918918919</v>
      </c>
      <c r="P11">
        <f t="shared" si="1"/>
        <v>28</v>
      </c>
    </row>
    <row r="12" spans="1:16">
      <c r="A12" t="s">
        <v>4</v>
      </c>
      <c r="B12">
        <v>11</v>
      </c>
      <c r="C12">
        <v>30</v>
      </c>
      <c r="D12">
        <v>40</v>
      </c>
      <c r="E12">
        <v>30</v>
      </c>
      <c r="F12">
        <v>20</v>
      </c>
      <c r="G12">
        <v>150</v>
      </c>
      <c r="H12">
        <v>120</v>
      </c>
      <c r="I12">
        <v>40</v>
      </c>
      <c r="J12">
        <v>20</v>
      </c>
      <c r="K12">
        <v>15</v>
      </c>
      <c r="L12">
        <v>375</v>
      </c>
      <c r="M12">
        <v>150</v>
      </c>
      <c r="N12">
        <v>37</v>
      </c>
      <c r="O12">
        <f t="shared" si="0"/>
        <v>1.875</v>
      </c>
      <c r="P12">
        <f t="shared" si="1"/>
        <v>30</v>
      </c>
    </row>
    <row r="13" spans="1:16">
      <c r="A13" t="s">
        <v>4</v>
      </c>
      <c r="B13">
        <v>12</v>
      </c>
      <c r="C13">
        <v>32</v>
      </c>
      <c r="D13">
        <v>43</v>
      </c>
      <c r="E13">
        <v>32</v>
      </c>
      <c r="F13">
        <v>21</v>
      </c>
      <c r="G13">
        <v>160</v>
      </c>
      <c r="H13">
        <v>129</v>
      </c>
      <c r="I13">
        <v>43</v>
      </c>
      <c r="J13">
        <v>21</v>
      </c>
      <c r="K13">
        <v>15</v>
      </c>
      <c r="L13">
        <v>400</v>
      </c>
      <c r="M13">
        <v>160</v>
      </c>
      <c r="N13">
        <v>40</v>
      </c>
      <c r="O13">
        <f t="shared" si="0"/>
        <v>1.8604651162790697</v>
      </c>
      <c r="P13">
        <f t="shared" si="1"/>
        <v>26.666666666666668</v>
      </c>
    </row>
    <row r="14" spans="1:16">
      <c r="A14" t="s">
        <v>4</v>
      </c>
      <c r="B14">
        <v>13</v>
      </c>
      <c r="C14">
        <v>34</v>
      </c>
      <c r="D14">
        <v>46</v>
      </c>
      <c r="E14">
        <v>34</v>
      </c>
      <c r="F14">
        <v>22</v>
      </c>
      <c r="G14">
        <v>170</v>
      </c>
      <c r="H14">
        <v>138</v>
      </c>
      <c r="I14">
        <v>46</v>
      </c>
      <c r="J14">
        <v>22</v>
      </c>
      <c r="K14">
        <v>16</v>
      </c>
      <c r="L14">
        <v>425</v>
      </c>
      <c r="M14">
        <v>170</v>
      </c>
      <c r="N14">
        <v>42</v>
      </c>
      <c r="O14">
        <f t="shared" si="0"/>
        <v>1.8478260869565217</v>
      </c>
      <c r="P14">
        <f t="shared" si="1"/>
        <v>28.333333333333332</v>
      </c>
    </row>
    <row r="15" spans="1:16">
      <c r="A15" t="s">
        <v>4</v>
      </c>
      <c r="B15">
        <v>14</v>
      </c>
      <c r="C15">
        <v>36</v>
      </c>
      <c r="D15">
        <v>49</v>
      </c>
      <c r="E15">
        <v>36</v>
      </c>
      <c r="F15">
        <v>23</v>
      </c>
      <c r="G15">
        <v>180</v>
      </c>
      <c r="H15">
        <v>147</v>
      </c>
      <c r="I15">
        <v>49</v>
      </c>
      <c r="J15">
        <v>23</v>
      </c>
      <c r="K15">
        <v>17</v>
      </c>
      <c r="L15">
        <v>450</v>
      </c>
      <c r="M15">
        <v>180</v>
      </c>
      <c r="N15">
        <v>45</v>
      </c>
      <c r="O15">
        <f t="shared" si="0"/>
        <v>1.8367346938775511</v>
      </c>
      <c r="P15">
        <f t="shared" si="1"/>
        <v>30</v>
      </c>
    </row>
    <row r="16" spans="1:16">
      <c r="A16" t="s">
        <v>4</v>
      </c>
      <c r="B16">
        <v>15</v>
      </c>
      <c r="C16">
        <v>38</v>
      </c>
      <c r="D16">
        <v>52</v>
      </c>
      <c r="E16">
        <v>38</v>
      </c>
      <c r="F16">
        <v>24</v>
      </c>
      <c r="G16">
        <v>190</v>
      </c>
      <c r="H16">
        <v>156</v>
      </c>
      <c r="I16">
        <v>52</v>
      </c>
      <c r="J16">
        <v>24</v>
      </c>
      <c r="K16">
        <v>18</v>
      </c>
      <c r="L16">
        <v>475</v>
      </c>
      <c r="M16">
        <v>190</v>
      </c>
      <c r="N16">
        <v>47</v>
      </c>
      <c r="O16">
        <f t="shared" si="0"/>
        <v>1.8269230769230769</v>
      </c>
      <c r="P16">
        <f t="shared" si="1"/>
        <v>31.666666666666668</v>
      </c>
    </row>
    <row r="17" spans="1:16">
      <c r="A17" t="s">
        <v>4</v>
      </c>
      <c r="B17">
        <v>16</v>
      </c>
      <c r="C17">
        <v>40</v>
      </c>
      <c r="D17">
        <v>55</v>
      </c>
      <c r="E17">
        <v>40</v>
      </c>
      <c r="F17">
        <v>25</v>
      </c>
      <c r="G17">
        <v>200</v>
      </c>
      <c r="H17">
        <v>165</v>
      </c>
      <c r="I17">
        <v>55</v>
      </c>
      <c r="J17">
        <v>25</v>
      </c>
      <c r="K17">
        <v>18</v>
      </c>
      <c r="L17">
        <v>500</v>
      </c>
      <c r="M17">
        <v>200</v>
      </c>
      <c r="N17">
        <v>50</v>
      </c>
      <c r="O17">
        <f t="shared" si="0"/>
        <v>1.8181818181818181</v>
      </c>
      <c r="P17">
        <f t="shared" si="1"/>
        <v>28.571428571428573</v>
      </c>
    </row>
    <row r="18" spans="1:16">
      <c r="A18" t="s">
        <v>4</v>
      </c>
      <c r="B18">
        <v>17</v>
      </c>
      <c r="C18">
        <v>42</v>
      </c>
      <c r="D18">
        <v>58</v>
      </c>
      <c r="E18">
        <v>42</v>
      </c>
      <c r="F18">
        <v>26</v>
      </c>
      <c r="G18">
        <v>210</v>
      </c>
      <c r="H18">
        <v>174</v>
      </c>
      <c r="I18">
        <v>58</v>
      </c>
      <c r="J18">
        <v>26</v>
      </c>
      <c r="K18">
        <v>19</v>
      </c>
      <c r="L18">
        <v>525</v>
      </c>
      <c r="M18">
        <v>210</v>
      </c>
      <c r="N18">
        <v>52</v>
      </c>
      <c r="O18">
        <f t="shared" si="0"/>
        <v>1.8103448275862069</v>
      </c>
      <c r="P18">
        <f t="shared" si="1"/>
        <v>30</v>
      </c>
    </row>
    <row r="19" spans="1:16">
      <c r="A19" t="s">
        <v>4</v>
      </c>
      <c r="B19">
        <v>18</v>
      </c>
      <c r="C19">
        <v>44</v>
      </c>
      <c r="D19">
        <v>61</v>
      </c>
      <c r="E19">
        <v>44</v>
      </c>
      <c r="F19">
        <v>27</v>
      </c>
      <c r="G19">
        <v>220</v>
      </c>
      <c r="H19">
        <v>183</v>
      </c>
      <c r="I19">
        <v>61</v>
      </c>
      <c r="J19">
        <v>27</v>
      </c>
      <c r="K19">
        <v>20</v>
      </c>
      <c r="L19">
        <v>550</v>
      </c>
      <c r="M19">
        <v>220</v>
      </c>
      <c r="N19">
        <v>55</v>
      </c>
      <c r="O19">
        <f t="shared" si="0"/>
        <v>1.8032786885245902</v>
      </c>
      <c r="P19">
        <f t="shared" si="1"/>
        <v>31.428571428571427</v>
      </c>
    </row>
    <row r="20" spans="1:16">
      <c r="A20" t="s">
        <v>4</v>
      </c>
      <c r="B20">
        <v>19</v>
      </c>
      <c r="C20">
        <v>46</v>
      </c>
      <c r="D20">
        <v>64</v>
      </c>
      <c r="E20">
        <v>46</v>
      </c>
      <c r="F20">
        <v>28</v>
      </c>
      <c r="G20">
        <v>230</v>
      </c>
      <c r="H20">
        <v>192</v>
      </c>
      <c r="I20">
        <v>64</v>
      </c>
      <c r="J20">
        <v>28</v>
      </c>
      <c r="K20">
        <v>21</v>
      </c>
      <c r="L20">
        <v>575</v>
      </c>
      <c r="M20">
        <v>230</v>
      </c>
      <c r="N20">
        <v>57</v>
      </c>
      <c r="O20">
        <f t="shared" si="0"/>
        <v>1.796875</v>
      </c>
      <c r="P20">
        <f t="shared" si="1"/>
        <v>32.857142857142854</v>
      </c>
    </row>
    <row r="21" spans="1:16">
      <c r="A21" t="s">
        <v>4</v>
      </c>
      <c r="B21">
        <v>20</v>
      </c>
      <c r="C21">
        <v>48</v>
      </c>
      <c r="D21">
        <v>67</v>
      </c>
      <c r="E21">
        <v>48</v>
      </c>
      <c r="F21">
        <v>29</v>
      </c>
      <c r="G21">
        <v>240</v>
      </c>
      <c r="H21">
        <v>201</v>
      </c>
      <c r="I21">
        <v>67</v>
      </c>
      <c r="J21">
        <v>29</v>
      </c>
      <c r="K21">
        <v>21</v>
      </c>
      <c r="L21">
        <v>600</v>
      </c>
      <c r="M21">
        <v>240</v>
      </c>
      <c r="N21">
        <v>60</v>
      </c>
      <c r="O21">
        <f t="shared" si="0"/>
        <v>1.791044776119403</v>
      </c>
      <c r="P21">
        <f t="shared" si="1"/>
        <v>30</v>
      </c>
    </row>
    <row r="22" spans="1:16">
      <c r="A22" t="s">
        <v>4</v>
      </c>
      <c r="B22">
        <v>21</v>
      </c>
      <c r="C22">
        <v>50</v>
      </c>
      <c r="D22">
        <v>70</v>
      </c>
      <c r="E22">
        <v>50</v>
      </c>
      <c r="F22">
        <v>30</v>
      </c>
      <c r="G22">
        <v>250</v>
      </c>
      <c r="H22">
        <v>210</v>
      </c>
      <c r="I22">
        <v>70</v>
      </c>
      <c r="J22">
        <v>30</v>
      </c>
      <c r="K22">
        <v>22</v>
      </c>
      <c r="L22">
        <v>625</v>
      </c>
      <c r="M22">
        <v>250</v>
      </c>
      <c r="N22">
        <v>62</v>
      </c>
      <c r="O22">
        <f t="shared" si="0"/>
        <v>1.7857142857142858</v>
      </c>
      <c r="P22">
        <f t="shared" si="1"/>
        <v>31.25</v>
      </c>
    </row>
    <row r="23" spans="1:16">
      <c r="A23" t="s">
        <v>4</v>
      </c>
      <c r="B23">
        <v>22</v>
      </c>
      <c r="C23">
        <v>52</v>
      </c>
      <c r="D23">
        <v>73</v>
      </c>
      <c r="E23">
        <v>52</v>
      </c>
      <c r="F23">
        <v>31</v>
      </c>
      <c r="G23">
        <v>260</v>
      </c>
      <c r="H23">
        <v>219</v>
      </c>
      <c r="I23">
        <v>73</v>
      </c>
      <c r="J23">
        <v>31</v>
      </c>
      <c r="K23">
        <v>23</v>
      </c>
      <c r="L23">
        <v>650</v>
      </c>
      <c r="M23">
        <v>260</v>
      </c>
      <c r="N23">
        <v>65</v>
      </c>
      <c r="O23">
        <f t="shared" si="0"/>
        <v>1.7808219178082192</v>
      </c>
      <c r="P23">
        <f t="shared" si="1"/>
        <v>32.5</v>
      </c>
    </row>
    <row r="24" spans="1:16">
      <c r="A24" t="s">
        <v>4</v>
      </c>
      <c r="B24">
        <v>23</v>
      </c>
      <c r="C24">
        <v>54</v>
      </c>
      <c r="D24">
        <v>76</v>
      </c>
      <c r="E24">
        <v>54</v>
      </c>
      <c r="F24">
        <v>32</v>
      </c>
      <c r="G24">
        <v>270</v>
      </c>
      <c r="H24">
        <v>228</v>
      </c>
      <c r="I24">
        <v>76</v>
      </c>
      <c r="J24">
        <v>32</v>
      </c>
      <c r="K24">
        <v>24</v>
      </c>
      <c r="L24">
        <v>675</v>
      </c>
      <c r="M24">
        <v>270</v>
      </c>
      <c r="N24">
        <v>67</v>
      </c>
      <c r="O24">
        <f t="shared" si="0"/>
        <v>1.7763157894736843</v>
      </c>
      <c r="P24">
        <f t="shared" si="1"/>
        <v>33.75</v>
      </c>
    </row>
    <row r="25" spans="1:16">
      <c r="A25" t="s">
        <v>4</v>
      </c>
      <c r="B25">
        <v>24</v>
      </c>
      <c r="C25">
        <v>56</v>
      </c>
      <c r="D25">
        <v>79</v>
      </c>
      <c r="E25">
        <v>56</v>
      </c>
      <c r="F25">
        <v>33</v>
      </c>
      <c r="G25">
        <v>280</v>
      </c>
      <c r="H25">
        <v>237</v>
      </c>
      <c r="I25">
        <v>79</v>
      </c>
      <c r="J25">
        <v>33</v>
      </c>
      <c r="K25">
        <v>24</v>
      </c>
      <c r="L25">
        <v>700</v>
      </c>
      <c r="M25">
        <v>280</v>
      </c>
      <c r="N25">
        <v>70</v>
      </c>
      <c r="O25">
        <f t="shared" si="0"/>
        <v>1.7721518987341771</v>
      </c>
      <c r="P25">
        <f t="shared" si="1"/>
        <v>31.111111111111111</v>
      </c>
    </row>
    <row r="26" spans="1:16">
      <c r="A26" t="s">
        <v>4</v>
      </c>
      <c r="B26">
        <v>25</v>
      </c>
      <c r="C26">
        <v>58</v>
      </c>
      <c r="D26">
        <v>82</v>
      </c>
      <c r="E26">
        <v>58</v>
      </c>
      <c r="F26">
        <v>34</v>
      </c>
      <c r="G26">
        <v>290</v>
      </c>
      <c r="H26">
        <v>246</v>
      </c>
      <c r="I26">
        <v>82</v>
      </c>
      <c r="J26">
        <v>34</v>
      </c>
      <c r="K26">
        <v>25</v>
      </c>
      <c r="L26">
        <v>725</v>
      </c>
      <c r="M26">
        <v>290</v>
      </c>
      <c r="N26">
        <v>72</v>
      </c>
      <c r="O26">
        <f t="shared" si="0"/>
        <v>1.7682926829268293</v>
      </c>
      <c r="P26">
        <f t="shared" si="1"/>
        <v>32.222222222222221</v>
      </c>
    </row>
    <row r="27" spans="1:16">
      <c r="A27" t="s">
        <v>4</v>
      </c>
      <c r="B27">
        <v>26</v>
      </c>
      <c r="C27">
        <v>60</v>
      </c>
      <c r="D27">
        <v>85</v>
      </c>
      <c r="E27">
        <v>60</v>
      </c>
      <c r="F27">
        <v>35</v>
      </c>
      <c r="G27">
        <v>300</v>
      </c>
      <c r="H27">
        <v>255</v>
      </c>
      <c r="I27">
        <v>85</v>
      </c>
      <c r="J27">
        <v>35</v>
      </c>
      <c r="K27">
        <v>26</v>
      </c>
      <c r="L27">
        <v>750</v>
      </c>
      <c r="M27">
        <v>300</v>
      </c>
      <c r="N27">
        <v>75</v>
      </c>
      <c r="O27">
        <f t="shared" si="0"/>
        <v>1.7647058823529411</v>
      </c>
      <c r="P27">
        <f t="shared" si="1"/>
        <v>33.333333333333336</v>
      </c>
    </row>
    <row r="28" spans="1:16">
      <c r="A28" t="s">
        <v>4</v>
      </c>
      <c r="B28">
        <v>27</v>
      </c>
      <c r="C28">
        <v>62</v>
      </c>
      <c r="D28">
        <v>88</v>
      </c>
      <c r="E28">
        <v>62</v>
      </c>
      <c r="F28">
        <v>36</v>
      </c>
      <c r="G28">
        <v>310</v>
      </c>
      <c r="H28">
        <v>264</v>
      </c>
      <c r="I28">
        <v>88</v>
      </c>
      <c r="J28">
        <v>36</v>
      </c>
      <c r="K28">
        <v>27</v>
      </c>
      <c r="L28">
        <v>775</v>
      </c>
      <c r="M28">
        <v>310</v>
      </c>
      <c r="N28">
        <v>77</v>
      </c>
      <c r="O28">
        <f t="shared" si="0"/>
        <v>1.7613636363636365</v>
      </c>
      <c r="P28">
        <f t="shared" si="1"/>
        <v>34.444444444444443</v>
      </c>
    </row>
    <row r="29" spans="1:16">
      <c r="A29" t="s">
        <v>4</v>
      </c>
      <c r="B29">
        <v>28</v>
      </c>
      <c r="C29">
        <v>64</v>
      </c>
      <c r="D29">
        <v>91</v>
      </c>
      <c r="E29">
        <v>64</v>
      </c>
      <c r="F29">
        <v>37</v>
      </c>
      <c r="G29">
        <v>320</v>
      </c>
      <c r="H29">
        <v>273</v>
      </c>
      <c r="I29">
        <v>91</v>
      </c>
      <c r="J29">
        <v>37</v>
      </c>
      <c r="K29">
        <v>27</v>
      </c>
      <c r="L29">
        <v>800</v>
      </c>
      <c r="M29">
        <v>320</v>
      </c>
      <c r="N29">
        <v>80</v>
      </c>
      <c r="O29">
        <f t="shared" si="0"/>
        <v>1.7582417582417582</v>
      </c>
      <c r="P29">
        <f t="shared" si="1"/>
        <v>32</v>
      </c>
    </row>
    <row r="30" spans="1:16">
      <c r="A30" t="s">
        <v>4</v>
      </c>
      <c r="B30">
        <v>29</v>
      </c>
      <c r="C30">
        <v>66</v>
      </c>
      <c r="D30">
        <v>94</v>
      </c>
      <c r="E30">
        <v>66</v>
      </c>
      <c r="F30">
        <v>38</v>
      </c>
      <c r="G30">
        <v>330</v>
      </c>
      <c r="H30">
        <v>282</v>
      </c>
      <c r="I30">
        <v>94</v>
      </c>
      <c r="J30">
        <v>38</v>
      </c>
      <c r="K30">
        <v>28</v>
      </c>
      <c r="L30">
        <v>825</v>
      </c>
      <c r="M30">
        <v>330</v>
      </c>
      <c r="N30">
        <v>82</v>
      </c>
      <c r="O30">
        <f t="shared" si="0"/>
        <v>1.7553191489361701</v>
      </c>
      <c r="P30">
        <f t="shared" si="1"/>
        <v>33</v>
      </c>
    </row>
    <row r="31" spans="1:16">
      <c r="A31" t="s">
        <v>4</v>
      </c>
      <c r="B31">
        <v>30</v>
      </c>
      <c r="C31">
        <v>68</v>
      </c>
      <c r="D31">
        <v>97</v>
      </c>
      <c r="E31">
        <v>68</v>
      </c>
      <c r="F31">
        <v>39</v>
      </c>
      <c r="G31">
        <v>340</v>
      </c>
      <c r="H31">
        <v>291</v>
      </c>
      <c r="I31">
        <v>97</v>
      </c>
      <c r="J31">
        <v>39</v>
      </c>
      <c r="K31">
        <v>29</v>
      </c>
      <c r="L31">
        <v>850</v>
      </c>
      <c r="M31">
        <v>340</v>
      </c>
      <c r="N31">
        <v>85</v>
      </c>
      <c r="O31">
        <f t="shared" si="0"/>
        <v>1.7525773195876289</v>
      </c>
      <c r="P31">
        <f t="shared" si="1"/>
        <v>34</v>
      </c>
    </row>
    <row r="32" spans="1:16">
      <c r="A32" t="s">
        <v>4</v>
      </c>
      <c r="B32">
        <v>31</v>
      </c>
      <c r="C32">
        <v>70</v>
      </c>
      <c r="D32">
        <v>100</v>
      </c>
      <c r="E32">
        <v>70</v>
      </c>
      <c r="F32">
        <v>40</v>
      </c>
      <c r="G32">
        <v>350</v>
      </c>
      <c r="H32">
        <v>300</v>
      </c>
      <c r="I32">
        <v>100</v>
      </c>
      <c r="J32">
        <v>40</v>
      </c>
      <c r="K32">
        <v>30</v>
      </c>
      <c r="L32">
        <v>875</v>
      </c>
      <c r="M32">
        <v>350</v>
      </c>
      <c r="N32">
        <v>87</v>
      </c>
      <c r="O32">
        <f t="shared" si="0"/>
        <v>1.75</v>
      </c>
      <c r="P32">
        <f t="shared" si="1"/>
        <v>35</v>
      </c>
    </row>
    <row r="33" spans="1:16">
      <c r="A33" t="s">
        <v>4</v>
      </c>
      <c r="B33">
        <v>32</v>
      </c>
      <c r="C33">
        <v>72</v>
      </c>
      <c r="D33">
        <v>103</v>
      </c>
      <c r="E33">
        <v>72</v>
      </c>
      <c r="F33">
        <v>41</v>
      </c>
      <c r="G33">
        <v>360</v>
      </c>
      <c r="H33">
        <v>309</v>
      </c>
      <c r="I33">
        <v>103</v>
      </c>
      <c r="J33">
        <v>41</v>
      </c>
      <c r="K33">
        <v>30</v>
      </c>
      <c r="L33">
        <v>900</v>
      </c>
      <c r="M33">
        <v>360</v>
      </c>
      <c r="N33">
        <v>90</v>
      </c>
      <c r="O33">
        <f t="shared" si="0"/>
        <v>1.7475728155339805</v>
      </c>
      <c r="P33">
        <f t="shared" si="1"/>
        <v>32.727272727272727</v>
      </c>
    </row>
    <row r="34" spans="1:16">
      <c r="A34" t="s">
        <v>4</v>
      </c>
      <c r="B34">
        <v>33</v>
      </c>
      <c r="C34">
        <v>74</v>
      </c>
      <c r="D34">
        <v>106</v>
      </c>
      <c r="E34">
        <v>74</v>
      </c>
      <c r="F34">
        <v>42</v>
      </c>
      <c r="G34">
        <v>370</v>
      </c>
      <c r="H34">
        <v>318</v>
      </c>
      <c r="I34">
        <v>106</v>
      </c>
      <c r="J34">
        <v>42</v>
      </c>
      <c r="K34">
        <v>31</v>
      </c>
      <c r="L34">
        <v>925</v>
      </c>
      <c r="M34">
        <v>370</v>
      </c>
      <c r="N34">
        <v>92</v>
      </c>
      <c r="O34">
        <f t="shared" si="0"/>
        <v>1.7452830188679245</v>
      </c>
      <c r="P34">
        <f t="shared" si="1"/>
        <v>33.636363636363633</v>
      </c>
    </row>
    <row r="35" spans="1:16">
      <c r="A35" t="s">
        <v>4</v>
      </c>
      <c r="B35">
        <v>34</v>
      </c>
      <c r="C35">
        <v>76</v>
      </c>
      <c r="D35">
        <v>109</v>
      </c>
      <c r="E35">
        <v>76</v>
      </c>
      <c r="F35">
        <v>43</v>
      </c>
      <c r="G35">
        <v>380</v>
      </c>
      <c r="H35">
        <v>327</v>
      </c>
      <c r="I35">
        <v>109</v>
      </c>
      <c r="J35">
        <v>43</v>
      </c>
      <c r="K35">
        <v>32</v>
      </c>
      <c r="L35">
        <v>950</v>
      </c>
      <c r="M35">
        <v>380</v>
      </c>
      <c r="N35">
        <v>95</v>
      </c>
      <c r="O35">
        <f t="shared" si="0"/>
        <v>1.7431192660550459</v>
      </c>
      <c r="P35">
        <f t="shared" si="1"/>
        <v>34.545454545454547</v>
      </c>
    </row>
    <row r="36" spans="1:16">
      <c r="A36" t="s">
        <v>4</v>
      </c>
      <c r="B36">
        <v>35</v>
      </c>
      <c r="C36">
        <v>78</v>
      </c>
      <c r="D36">
        <v>112</v>
      </c>
      <c r="E36">
        <v>78</v>
      </c>
      <c r="F36">
        <v>44</v>
      </c>
      <c r="G36">
        <v>390</v>
      </c>
      <c r="H36">
        <v>336</v>
      </c>
      <c r="I36">
        <v>112</v>
      </c>
      <c r="J36">
        <v>44</v>
      </c>
      <c r="K36">
        <v>33</v>
      </c>
      <c r="L36">
        <v>975</v>
      </c>
      <c r="M36">
        <v>390</v>
      </c>
      <c r="N36">
        <v>97</v>
      </c>
      <c r="O36">
        <f t="shared" si="0"/>
        <v>1.7410714285714286</v>
      </c>
      <c r="P36">
        <f t="shared" si="1"/>
        <v>35.454545454545453</v>
      </c>
    </row>
    <row r="37" spans="1:16">
      <c r="A37" t="s">
        <v>4</v>
      </c>
      <c r="B37">
        <v>36</v>
      </c>
      <c r="C37">
        <v>80</v>
      </c>
      <c r="D37">
        <v>115</v>
      </c>
      <c r="E37">
        <v>80</v>
      </c>
      <c r="F37">
        <v>45</v>
      </c>
      <c r="G37">
        <v>400</v>
      </c>
      <c r="H37">
        <v>345</v>
      </c>
      <c r="I37">
        <v>115</v>
      </c>
      <c r="J37">
        <v>45</v>
      </c>
      <c r="K37">
        <v>33</v>
      </c>
      <c r="L37">
        <v>1000</v>
      </c>
      <c r="M37">
        <v>400</v>
      </c>
      <c r="N37">
        <v>100</v>
      </c>
      <c r="O37">
        <f t="shared" si="0"/>
        <v>1.7391304347826086</v>
      </c>
      <c r="P37">
        <f t="shared" si="1"/>
        <v>33.333333333333336</v>
      </c>
    </row>
    <row r="38" spans="1:16">
      <c r="A38" t="s">
        <v>4</v>
      </c>
      <c r="B38">
        <v>37</v>
      </c>
      <c r="C38">
        <v>82</v>
      </c>
      <c r="D38">
        <v>118</v>
      </c>
      <c r="E38">
        <v>82</v>
      </c>
      <c r="F38">
        <v>46</v>
      </c>
      <c r="G38">
        <v>410</v>
      </c>
      <c r="H38">
        <v>354</v>
      </c>
      <c r="I38">
        <v>118</v>
      </c>
      <c r="J38">
        <v>46</v>
      </c>
      <c r="K38">
        <v>34</v>
      </c>
      <c r="L38">
        <v>1025</v>
      </c>
      <c r="M38">
        <v>410</v>
      </c>
      <c r="N38">
        <v>102</v>
      </c>
      <c r="O38">
        <f t="shared" si="0"/>
        <v>1.7372881355932204</v>
      </c>
      <c r="P38">
        <f t="shared" si="1"/>
        <v>34.166666666666664</v>
      </c>
    </row>
    <row r="39" spans="1:16">
      <c r="A39" t="s">
        <v>4</v>
      </c>
      <c r="B39">
        <v>38</v>
      </c>
      <c r="C39">
        <v>84</v>
      </c>
      <c r="D39">
        <v>121</v>
      </c>
      <c r="E39">
        <v>84</v>
      </c>
      <c r="F39">
        <v>47</v>
      </c>
      <c r="G39">
        <v>420</v>
      </c>
      <c r="H39">
        <v>363</v>
      </c>
      <c r="I39">
        <v>121</v>
      </c>
      <c r="J39">
        <v>47</v>
      </c>
      <c r="K39">
        <v>35</v>
      </c>
      <c r="L39">
        <v>1050</v>
      </c>
      <c r="M39">
        <v>420</v>
      </c>
      <c r="N39">
        <v>105</v>
      </c>
      <c r="O39">
        <f t="shared" si="0"/>
        <v>1.7355371900826446</v>
      </c>
      <c r="P39">
        <f t="shared" si="1"/>
        <v>35</v>
      </c>
    </row>
    <row r="40" spans="1:16">
      <c r="A40" t="s">
        <v>4</v>
      </c>
      <c r="B40">
        <v>39</v>
      </c>
      <c r="C40">
        <v>86</v>
      </c>
      <c r="D40">
        <v>124</v>
      </c>
      <c r="E40">
        <v>86</v>
      </c>
      <c r="F40">
        <v>48</v>
      </c>
      <c r="G40">
        <v>430</v>
      </c>
      <c r="H40">
        <v>372</v>
      </c>
      <c r="I40">
        <v>124</v>
      </c>
      <c r="J40">
        <v>48</v>
      </c>
      <c r="K40">
        <v>36</v>
      </c>
      <c r="L40">
        <v>1075</v>
      </c>
      <c r="M40">
        <v>430</v>
      </c>
      <c r="N40">
        <v>107</v>
      </c>
      <c r="O40">
        <f t="shared" si="0"/>
        <v>1.7338709677419355</v>
      </c>
      <c r="P40">
        <f t="shared" si="1"/>
        <v>35.833333333333336</v>
      </c>
    </row>
    <row r="41" spans="1:16">
      <c r="A41" t="s">
        <v>4</v>
      </c>
      <c r="B41">
        <v>40</v>
      </c>
      <c r="C41">
        <v>88</v>
      </c>
      <c r="D41">
        <v>127</v>
      </c>
      <c r="E41">
        <v>88</v>
      </c>
      <c r="F41">
        <v>49</v>
      </c>
      <c r="G41">
        <v>440</v>
      </c>
      <c r="H41">
        <v>381</v>
      </c>
      <c r="I41">
        <v>127</v>
      </c>
      <c r="J41">
        <v>49</v>
      </c>
      <c r="K41">
        <v>36</v>
      </c>
      <c r="L41">
        <v>1100</v>
      </c>
      <c r="M41">
        <v>440</v>
      </c>
      <c r="N41">
        <v>110</v>
      </c>
      <c r="O41">
        <f t="shared" si="0"/>
        <v>1.7322834645669292</v>
      </c>
      <c r="P41">
        <f t="shared" si="1"/>
        <v>33.846153846153847</v>
      </c>
    </row>
    <row r="42" spans="1:16">
      <c r="A42" t="s">
        <v>4</v>
      </c>
      <c r="B42">
        <v>41</v>
      </c>
      <c r="C42">
        <v>90</v>
      </c>
      <c r="D42">
        <v>130</v>
      </c>
      <c r="E42">
        <v>90</v>
      </c>
      <c r="F42">
        <v>50</v>
      </c>
      <c r="G42">
        <v>450</v>
      </c>
      <c r="H42">
        <v>390</v>
      </c>
      <c r="I42">
        <v>130</v>
      </c>
      <c r="J42">
        <v>50</v>
      </c>
      <c r="K42">
        <v>37</v>
      </c>
      <c r="L42">
        <v>1125</v>
      </c>
      <c r="M42">
        <v>450</v>
      </c>
      <c r="N42">
        <v>112</v>
      </c>
      <c r="O42">
        <f t="shared" si="0"/>
        <v>1.7307692307692308</v>
      </c>
      <c r="P42">
        <f t="shared" si="1"/>
        <v>34.615384615384613</v>
      </c>
    </row>
    <row r="43" spans="1:16">
      <c r="A43" t="s">
        <v>4</v>
      </c>
      <c r="B43">
        <v>42</v>
      </c>
      <c r="C43">
        <v>92</v>
      </c>
      <c r="D43">
        <v>133</v>
      </c>
      <c r="E43">
        <v>92</v>
      </c>
      <c r="F43">
        <v>51</v>
      </c>
      <c r="G43">
        <v>460</v>
      </c>
      <c r="H43">
        <v>399</v>
      </c>
      <c r="I43">
        <v>133</v>
      </c>
      <c r="J43">
        <v>51</v>
      </c>
      <c r="K43">
        <v>38</v>
      </c>
      <c r="L43">
        <v>1150</v>
      </c>
      <c r="M43">
        <v>460</v>
      </c>
      <c r="N43">
        <v>115</v>
      </c>
      <c r="O43">
        <f t="shared" si="0"/>
        <v>1.7293233082706767</v>
      </c>
      <c r="P43">
        <f t="shared" si="1"/>
        <v>35.384615384615387</v>
      </c>
    </row>
    <row r="44" spans="1:16">
      <c r="A44" t="s">
        <v>4</v>
      </c>
      <c r="B44">
        <v>43</v>
      </c>
      <c r="C44">
        <v>94</v>
      </c>
      <c r="D44">
        <v>136</v>
      </c>
      <c r="E44">
        <v>94</v>
      </c>
      <c r="F44">
        <v>52</v>
      </c>
      <c r="G44">
        <v>470</v>
      </c>
      <c r="H44">
        <v>408</v>
      </c>
      <c r="I44">
        <v>136</v>
      </c>
      <c r="J44">
        <v>52</v>
      </c>
      <c r="K44">
        <v>39</v>
      </c>
      <c r="L44">
        <v>1175</v>
      </c>
      <c r="M44">
        <v>470</v>
      </c>
      <c r="N44">
        <v>117</v>
      </c>
      <c r="O44">
        <f t="shared" si="0"/>
        <v>1.7279411764705883</v>
      </c>
      <c r="P44">
        <f t="shared" si="1"/>
        <v>36.153846153846153</v>
      </c>
    </row>
    <row r="45" spans="1:16">
      <c r="A45" t="s">
        <v>4</v>
      </c>
      <c r="B45">
        <v>44</v>
      </c>
      <c r="C45">
        <v>96</v>
      </c>
      <c r="D45">
        <v>139</v>
      </c>
      <c r="E45">
        <v>96</v>
      </c>
      <c r="F45">
        <v>53</v>
      </c>
      <c r="G45">
        <v>480</v>
      </c>
      <c r="H45">
        <v>417</v>
      </c>
      <c r="I45">
        <v>139</v>
      </c>
      <c r="J45">
        <v>53</v>
      </c>
      <c r="K45">
        <v>39</v>
      </c>
      <c r="L45">
        <v>1200</v>
      </c>
      <c r="M45">
        <v>480</v>
      </c>
      <c r="N45">
        <v>120</v>
      </c>
      <c r="O45">
        <f t="shared" si="0"/>
        <v>1.7266187050359711</v>
      </c>
      <c r="P45">
        <f t="shared" si="1"/>
        <v>34.285714285714285</v>
      </c>
    </row>
    <row r="46" spans="1:16">
      <c r="A46" t="s">
        <v>4</v>
      </c>
      <c r="B46">
        <v>45</v>
      </c>
      <c r="C46">
        <v>98</v>
      </c>
      <c r="D46">
        <v>142</v>
      </c>
      <c r="E46">
        <v>98</v>
      </c>
      <c r="F46">
        <v>54</v>
      </c>
      <c r="G46">
        <v>490</v>
      </c>
      <c r="H46">
        <v>426</v>
      </c>
      <c r="I46">
        <v>142</v>
      </c>
      <c r="J46">
        <v>54</v>
      </c>
      <c r="K46">
        <v>40</v>
      </c>
      <c r="L46">
        <v>1225</v>
      </c>
      <c r="M46">
        <v>490</v>
      </c>
      <c r="N46">
        <v>122</v>
      </c>
      <c r="O46">
        <f t="shared" si="0"/>
        <v>1.7253521126760563</v>
      </c>
      <c r="P46">
        <f t="shared" si="1"/>
        <v>35</v>
      </c>
    </row>
    <row r="47" spans="1:16">
      <c r="A47" t="s">
        <v>4</v>
      </c>
      <c r="B47">
        <v>46</v>
      </c>
      <c r="C47">
        <v>100</v>
      </c>
      <c r="D47">
        <v>145</v>
      </c>
      <c r="E47">
        <v>100</v>
      </c>
      <c r="F47">
        <v>55</v>
      </c>
      <c r="G47">
        <v>500</v>
      </c>
      <c r="H47">
        <v>435</v>
      </c>
      <c r="I47">
        <v>145</v>
      </c>
      <c r="J47">
        <v>55</v>
      </c>
      <c r="K47">
        <v>41</v>
      </c>
      <c r="L47">
        <v>1250</v>
      </c>
      <c r="M47">
        <v>500</v>
      </c>
      <c r="N47">
        <v>125</v>
      </c>
      <c r="O47">
        <f t="shared" si="0"/>
        <v>1.7241379310344827</v>
      </c>
      <c r="P47">
        <f t="shared" si="1"/>
        <v>35.714285714285715</v>
      </c>
    </row>
    <row r="48" spans="1:16">
      <c r="A48" t="s">
        <v>4</v>
      </c>
      <c r="B48">
        <v>47</v>
      </c>
      <c r="C48">
        <v>102</v>
      </c>
      <c r="D48">
        <v>148</v>
      </c>
      <c r="E48">
        <v>102</v>
      </c>
      <c r="F48">
        <v>56</v>
      </c>
      <c r="G48">
        <v>510</v>
      </c>
      <c r="H48">
        <v>444</v>
      </c>
      <c r="I48">
        <v>148</v>
      </c>
      <c r="J48">
        <v>56</v>
      </c>
      <c r="K48">
        <v>42</v>
      </c>
      <c r="L48">
        <v>1275</v>
      </c>
      <c r="M48">
        <v>510</v>
      </c>
      <c r="N48">
        <v>127</v>
      </c>
      <c r="O48">
        <f t="shared" si="0"/>
        <v>1.722972972972973</v>
      </c>
      <c r="P48">
        <f t="shared" si="1"/>
        <v>36.428571428571431</v>
      </c>
    </row>
    <row r="49" spans="1:16">
      <c r="A49" t="s">
        <v>4</v>
      </c>
      <c r="B49">
        <v>48</v>
      </c>
      <c r="C49">
        <v>104</v>
      </c>
      <c r="D49">
        <v>151</v>
      </c>
      <c r="E49">
        <v>104</v>
      </c>
      <c r="F49">
        <v>57</v>
      </c>
      <c r="G49">
        <v>520</v>
      </c>
      <c r="H49">
        <v>453</v>
      </c>
      <c r="I49">
        <v>151</v>
      </c>
      <c r="J49">
        <v>57</v>
      </c>
      <c r="K49">
        <v>42</v>
      </c>
      <c r="L49">
        <v>1300</v>
      </c>
      <c r="M49">
        <v>520</v>
      </c>
      <c r="N49">
        <v>130</v>
      </c>
      <c r="O49">
        <f t="shared" si="0"/>
        <v>1.7218543046357615</v>
      </c>
      <c r="P49">
        <f t="shared" si="1"/>
        <v>34.666666666666664</v>
      </c>
    </row>
    <row r="50" spans="1:16">
      <c r="A50" t="s">
        <v>4</v>
      </c>
      <c r="B50">
        <v>49</v>
      </c>
      <c r="C50">
        <v>106</v>
      </c>
      <c r="D50">
        <v>154</v>
      </c>
      <c r="E50">
        <v>106</v>
      </c>
      <c r="F50">
        <v>58</v>
      </c>
      <c r="G50">
        <v>530</v>
      </c>
      <c r="H50">
        <v>462</v>
      </c>
      <c r="I50">
        <v>154</v>
      </c>
      <c r="J50">
        <v>58</v>
      </c>
      <c r="K50">
        <v>43</v>
      </c>
      <c r="L50">
        <v>1325</v>
      </c>
      <c r="M50">
        <v>530</v>
      </c>
      <c r="N50">
        <v>132</v>
      </c>
      <c r="O50">
        <f t="shared" si="0"/>
        <v>1.7207792207792207</v>
      </c>
      <c r="P50">
        <f t="shared" si="1"/>
        <v>35.333333333333336</v>
      </c>
    </row>
    <row r="51" spans="1:16">
      <c r="A51" t="s">
        <v>4</v>
      </c>
      <c r="B51">
        <v>50</v>
      </c>
      <c r="C51">
        <v>108</v>
      </c>
      <c r="D51">
        <v>157</v>
      </c>
      <c r="E51">
        <v>108</v>
      </c>
      <c r="F51">
        <v>59</v>
      </c>
      <c r="G51">
        <v>540</v>
      </c>
      <c r="H51">
        <v>471</v>
      </c>
      <c r="I51">
        <v>157</v>
      </c>
      <c r="J51">
        <v>59</v>
      </c>
      <c r="K51">
        <v>44</v>
      </c>
      <c r="L51">
        <v>1350</v>
      </c>
      <c r="M51">
        <v>540</v>
      </c>
      <c r="N51">
        <v>135</v>
      </c>
      <c r="O51">
        <f t="shared" si="0"/>
        <v>1.7197452229299364</v>
      </c>
      <c r="P51">
        <f t="shared" si="1"/>
        <v>36</v>
      </c>
    </row>
    <row r="52" spans="1:16">
      <c r="A52" t="s">
        <v>4</v>
      </c>
      <c r="B52">
        <v>51</v>
      </c>
      <c r="C52">
        <v>110</v>
      </c>
      <c r="D52">
        <v>160</v>
      </c>
      <c r="E52">
        <v>110</v>
      </c>
      <c r="F52">
        <v>60</v>
      </c>
      <c r="G52">
        <v>550</v>
      </c>
      <c r="H52">
        <v>480</v>
      </c>
      <c r="I52">
        <v>160</v>
      </c>
      <c r="J52">
        <v>60</v>
      </c>
      <c r="K52">
        <v>45</v>
      </c>
      <c r="L52">
        <v>1375</v>
      </c>
      <c r="M52">
        <v>550</v>
      </c>
      <c r="N52">
        <v>137</v>
      </c>
      <c r="O52">
        <f t="shared" si="0"/>
        <v>1.71875</v>
      </c>
      <c r="P52">
        <f t="shared" si="1"/>
        <v>36.666666666666664</v>
      </c>
    </row>
    <row r="53" spans="1:16">
      <c r="A53" t="s">
        <v>4</v>
      </c>
      <c r="B53">
        <v>52</v>
      </c>
      <c r="C53">
        <v>112</v>
      </c>
      <c r="D53">
        <v>163</v>
      </c>
      <c r="E53">
        <v>112</v>
      </c>
      <c r="F53">
        <v>61</v>
      </c>
      <c r="G53">
        <v>560</v>
      </c>
      <c r="H53">
        <v>489</v>
      </c>
      <c r="I53">
        <v>163</v>
      </c>
      <c r="J53">
        <v>61</v>
      </c>
      <c r="K53">
        <v>45</v>
      </c>
      <c r="L53">
        <v>1400</v>
      </c>
      <c r="M53">
        <v>560</v>
      </c>
      <c r="N53">
        <v>140</v>
      </c>
      <c r="O53">
        <f t="shared" si="0"/>
        <v>1.7177914110429449</v>
      </c>
      <c r="P53">
        <f t="shared" si="1"/>
        <v>35</v>
      </c>
    </row>
    <row r="54" spans="1:16">
      <c r="A54" t="s">
        <v>4</v>
      </c>
      <c r="B54">
        <v>53</v>
      </c>
      <c r="C54">
        <v>114</v>
      </c>
      <c r="D54">
        <v>166</v>
      </c>
      <c r="E54">
        <v>114</v>
      </c>
      <c r="F54">
        <v>62</v>
      </c>
      <c r="G54">
        <v>570</v>
      </c>
      <c r="H54">
        <v>498</v>
      </c>
      <c r="I54">
        <v>166</v>
      </c>
      <c r="J54">
        <v>62</v>
      </c>
      <c r="K54">
        <v>46</v>
      </c>
      <c r="L54">
        <v>1425</v>
      </c>
      <c r="M54">
        <v>570</v>
      </c>
      <c r="N54">
        <v>142</v>
      </c>
      <c r="O54">
        <f t="shared" si="0"/>
        <v>1.7168674698795181</v>
      </c>
      <c r="P54">
        <f t="shared" si="1"/>
        <v>35.625</v>
      </c>
    </row>
    <row r="55" spans="1:16">
      <c r="A55" t="s">
        <v>4</v>
      </c>
      <c r="B55">
        <v>54</v>
      </c>
      <c r="C55">
        <v>116</v>
      </c>
      <c r="D55">
        <v>169</v>
      </c>
      <c r="E55">
        <v>116</v>
      </c>
      <c r="F55">
        <v>63</v>
      </c>
      <c r="G55">
        <v>580</v>
      </c>
      <c r="H55">
        <v>507</v>
      </c>
      <c r="I55">
        <v>169</v>
      </c>
      <c r="J55">
        <v>63</v>
      </c>
      <c r="K55">
        <v>47</v>
      </c>
      <c r="L55">
        <v>1450</v>
      </c>
      <c r="M55">
        <v>580</v>
      </c>
      <c r="N55">
        <v>145</v>
      </c>
      <c r="O55">
        <f t="shared" si="0"/>
        <v>1.7159763313609468</v>
      </c>
      <c r="P55">
        <f t="shared" si="1"/>
        <v>36.25</v>
      </c>
    </row>
    <row r="56" spans="1:16">
      <c r="A56" t="s">
        <v>4</v>
      </c>
      <c r="B56">
        <v>55</v>
      </c>
      <c r="C56">
        <v>118</v>
      </c>
      <c r="D56">
        <v>172</v>
      </c>
      <c r="E56">
        <v>118</v>
      </c>
      <c r="F56">
        <v>64</v>
      </c>
      <c r="G56">
        <v>590</v>
      </c>
      <c r="H56">
        <v>516</v>
      </c>
      <c r="I56">
        <v>172</v>
      </c>
      <c r="J56">
        <v>64</v>
      </c>
      <c r="K56">
        <v>48</v>
      </c>
      <c r="L56">
        <v>1475</v>
      </c>
      <c r="M56">
        <v>590</v>
      </c>
      <c r="N56">
        <v>147</v>
      </c>
      <c r="O56">
        <f t="shared" si="0"/>
        <v>1.7151162790697674</v>
      </c>
      <c r="P56">
        <f t="shared" si="1"/>
        <v>36.875</v>
      </c>
    </row>
    <row r="57" spans="1:16">
      <c r="A57" t="s">
        <v>4</v>
      </c>
      <c r="B57">
        <v>56</v>
      </c>
      <c r="C57">
        <v>120</v>
      </c>
      <c r="D57">
        <v>175</v>
      </c>
      <c r="E57">
        <v>120</v>
      </c>
      <c r="F57">
        <v>65</v>
      </c>
      <c r="G57">
        <v>600</v>
      </c>
      <c r="H57">
        <v>525</v>
      </c>
      <c r="I57">
        <v>175</v>
      </c>
      <c r="J57">
        <v>65</v>
      </c>
      <c r="K57">
        <v>48</v>
      </c>
      <c r="L57">
        <v>1500</v>
      </c>
      <c r="M57">
        <v>600</v>
      </c>
      <c r="N57">
        <v>150</v>
      </c>
      <c r="O57">
        <f t="shared" si="0"/>
        <v>1.7142857142857142</v>
      </c>
      <c r="P57">
        <f t="shared" si="1"/>
        <v>35.294117647058826</v>
      </c>
    </row>
    <row r="58" spans="1:16">
      <c r="A58" t="s">
        <v>4</v>
      </c>
      <c r="B58">
        <v>57</v>
      </c>
      <c r="C58">
        <v>122</v>
      </c>
      <c r="D58">
        <v>178</v>
      </c>
      <c r="E58">
        <v>122</v>
      </c>
      <c r="F58">
        <v>66</v>
      </c>
      <c r="G58">
        <v>610</v>
      </c>
      <c r="H58">
        <v>534</v>
      </c>
      <c r="I58">
        <v>178</v>
      </c>
      <c r="J58">
        <v>66</v>
      </c>
      <c r="K58">
        <v>49</v>
      </c>
      <c r="L58">
        <v>1525</v>
      </c>
      <c r="M58">
        <v>610</v>
      </c>
      <c r="N58">
        <v>152</v>
      </c>
      <c r="O58">
        <f t="shared" si="0"/>
        <v>1.7134831460674158</v>
      </c>
      <c r="P58">
        <f t="shared" si="1"/>
        <v>35.882352941176471</v>
      </c>
    </row>
    <row r="59" spans="1:16">
      <c r="A59" t="s">
        <v>4</v>
      </c>
      <c r="B59">
        <v>58</v>
      </c>
      <c r="C59">
        <v>124</v>
      </c>
      <c r="D59">
        <v>181</v>
      </c>
      <c r="E59">
        <v>124</v>
      </c>
      <c r="F59">
        <v>67</v>
      </c>
      <c r="G59">
        <v>620</v>
      </c>
      <c r="H59">
        <v>543</v>
      </c>
      <c r="I59">
        <v>181</v>
      </c>
      <c r="J59">
        <v>67</v>
      </c>
      <c r="K59">
        <v>50</v>
      </c>
      <c r="L59">
        <v>1550</v>
      </c>
      <c r="M59">
        <v>620</v>
      </c>
      <c r="N59">
        <v>155</v>
      </c>
      <c r="O59">
        <f t="shared" si="0"/>
        <v>1.7127071823204421</v>
      </c>
      <c r="P59">
        <f t="shared" si="1"/>
        <v>36.470588235294116</v>
      </c>
    </row>
    <row r="60" spans="1:16">
      <c r="A60" t="s">
        <v>4</v>
      </c>
      <c r="B60">
        <v>59</v>
      </c>
      <c r="C60">
        <v>126</v>
      </c>
      <c r="D60">
        <v>184</v>
      </c>
      <c r="E60">
        <v>126</v>
      </c>
      <c r="F60">
        <v>68</v>
      </c>
      <c r="G60">
        <v>630</v>
      </c>
      <c r="H60">
        <v>552</v>
      </c>
      <c r="I60">
        <v>184</v>
      </c>
      <c r="J60">
        <v>68</v>
      </c>
      <c r="K60">
        <v>51</v>
      </c>
      <c r="L60">
        <v>1575</v>
      </c>
      <c r="M60">
        <v>630</v>
      </c>
      <c r="N60">
        <v>157</v>
      </c>
      <c r="O60">
        <f t="shared" si="0"/>
        <v>1.7119565217391304</v>
      </c>
      <c r="P60">
        <f t="shared" si="1"/>
        <v>37.058823529411768</v>
      </c>
    </row>
    <row r="61" spans="1:16">
      <c r="A61" t="s">
        <v>4</v>
      </c>
      <c r="B61">
        <v>60</v>
      </c>
      <c r="C61">
        <v>128</v>
      </c>
      <c r="D61">
        <v>187</v>
      </c>
      <c r="E61">
        <v>128</v>
      </c>
      <c r="F61">
        <v>69</v>
      </c>
      <c r="G61">
        <v>640</v>
      </c>
      <c r="H61">
        <v>561</v>
      </c>
      <c r="I61">
        <v>187</v>
      </c>
      <c r="J61">
        <v>69</v>
      </c>
      <c r="K61">
        <v>51</v>
      </c>
      <c r="L61">
        <v>1600</v>
      </c>
      <c r="M61">
        <v>640</v>
      </c>
      <c r="N61">
        <v>160</v>
      </c>
      <c r="O61">
        <f t="shared" si="0"/>
        <v>1.7112299465240641</v>
      </c>
      <c r="P61">
        <f t="shared" si="1"/>
        <v>35.555555555555557</v>
      </c>
    </row>
    <row r="62" spans="1:16">
      <c r="A62" t="s">
        <v>4</v>
      </c>
      <c r="B62">
        <v>61</v>
      </c>
      <c r="C62">
        <v>130</v>
      </c>
      <c r="D62">
        <v>190</v>
      </c>
      <c r="E62">
        <v>130</v>
      </c>
      <c r="F62">
        <v>70</v>
      </c>
      <c r="G62">
        <v>650</v>
      </c>
      <c r="H62">
        <v>570</v>
      </c>
      <c r="I62">
        <v>190</v>
      </c>
      <c r="J62">
        <v>70</v>
      </c>
      <c r="K62">
        <v>52</v>
      </c>
      <c r="L62">
        <v>1625</v>
      </c>
      <c r="M62">
        <v>650</v>
      </c>
      <c r="N62">
        <v>162</v>
      </c>
      <c r="O62">
        <f t="shared" si="0"/>
        <v>1.7105263157894737</v>
      </c>
      <c r="P62">
        <f t="shared" si="1"/>
        <v>36.111111111111114</v>
      </c>
    </row>
    <row r="63" spans="1:16">
      <c r="A63" t="s">
        <v>4</v>
      </c>
      <c r="B63">
        <v>62</v>
      </c>
      <c r="C63">
        <v>132</v>
      </c>
      <c r="D63">
        <v>193</v>
      </c>
      <c r="E63">
        <v>132</v>
      </c>
      <c r="F63">
        <v>71</v>
      </c>
      <c r="G63">
        <v>660</v>
      </c>
      <c r="H63">
        <v>579</v>
      </c>
      <c r="I63">
        <v>193</v>
      </c>
      <c r="J63">
        <v>71</v>
      </c>
      <c r="K63">
        <v>53</v>
      </c>
      <c r="L63">
        <v>1650</v>
      </c>
      <c r="M63">
        <v>660</v>
      </c>
      <c r="N63">
        <v>165</v>
      </c>
      <c r="O63">
        <f t="shared" si="0"/>
        <v>1.7098445595854923</v>
      </c>
      <c r="P63">
        <f t="shared" si="1"/>
        <v>36.666666666666664</v>
      </c>
    </row>
    <row r="64" spans="1:16">
      <c r="A64" t="s">
        <v>4</v>
      </c>
      <c r="B64">
        <v>63</v>
      </c>
      <c r="C64">
        <v>134</v>
      </c>
      <c r="D64">
        <v>196</v>
      </c>
      <c r="E64">
        <v>134</v>
      </c>
      <c r="F64">
        <v>72</v>
      </c>
      <c r="G64">
        <v>670</v>
      </c>
      <c r="H64">
        <v>588</v>
      </c>
      <c r="I64">
        <v>196</v>
      </c>
      <c r="J64">
        <v>72</v>
      </c>
      <c r="K64">
        <v>54</v>
      </c>
      <c r="L64">
        <v>1675</v>
      </c>
      <c r="M64">
        <v>670</v>
      </c>
      <c r="N64">
        <v>167</v>
      </c>
      <c r="O64">
        <f t="shared" si="0"/>
        <v>1.7091836734693877</v>
      </c>
      <c r="P64">
        <f t="shared" si="1"/>
        <v>37.222222222222221</v>
      </c>
    </row>
    <row r="65" spans="1:16">
      <c r="A65" t="s">
        <v>4</v>
      </c>
      <c r="B65">
        <v>64</v>
      </c>
      <c r="C65">
        <v>136</v>
      </c>
      <c r="D65">
        <v>199</v>
      </c>
      <c r="E65">
        <v>136</v>
      </c>
      <c r="F65">
        <v>73</v>
      </c>
      <c r="G65">
        <v>680</v>
      </c>
      <c r="H65">
        <v>597</v>
      </c>
      <c r="I65">
        <v>199</v>
      </c>
      <c r="J65">
        <v>73</v>
      </c>
      <c r="K65">
        <v>54</v>
      </c>
      <c r="L65">
        <v>1700</v>
      </c>
      <c r="M65">
        <v>680</v>
      </c>
      <c r="N65">
        <v>170</v>
      </c>
      <c r="O65">
        <f t="shared" si="0"/>
        <v>1.7085427135678393</v>
      </c>
      <c r="P65">
        <f t="shared" si="1"/>
        <v>35.789473684210527</v>
      </c>
    </row>
    <row r="66" spans="1:16">
      <c r="A66" t="s">
        <v>4</v>
      </c>
      <c r="B66">
        <v>65</v>
      </c>
      <c r="C66">
        <v>138</v>
      </c>
      <c r="D66">
        <v>202</v>
      </c>
      <c r="E66">
        <v>138</v>
      </c>
      <c r="F66">
        <v>74</v>
      </c>
      <c r="G66">
        <v>690</v>
      </c>
      <c r="H66">
        <v>606</v>
      </c>
      <c r="I66">
        <v>202</v>
      </c>
      <c r="J66">
        <v>74</v>
      </c>
      <c r="K66">
        <v>55</v>
      </c>
      <c r="L66">
        <v>1725</v>
      </c>
      <c r="M66">
        <v>690</v>
      </c>
      <c r="N66">
        <v>172</v>
      </c>
      <c r="O66">
        <f t="shared" si="0"/>
        <v>1.7079207920792079</v>
      </c>
      <c r="P66">
        <f t="shared" si="1"/>
        <v>36.315789473684212</v>
      </c>
    </row>
    <row r="67" spans="1:16">
      <c r="A67" t="s">
        <v>4</v>
      </c>
      <c r="B67">
        <v>66</v>
      </c>
      <c r="C67">
        <v>140</v>
      </c>
      <c r="D67">
        <v>205</v>
      </c>
      <c r="E67">
        <v>140</v>
      </c>
      <c r="F67">
        <v>75</v>
      </c>
      <c r="G67">
        <v>700</v>
      </c>
      <c r="H67">
        <v>615</v>
      </c>
      <c r="I67">
        <v>205</v>
      </c>
      <c r="J67">
        <v>75</v>
      </c>
      <c r="K67">
        <v>56</v>
      </c>
      <c r="L67">
        <v>1750</v>
      </c>
      <c r="M67">
        <v>700</v>
      </c>
      <c r="N67">
        <v>175</v>
      </c>
      <c r="O67">
        <f t="shared" ref="O67:O101" si="2">G67/(H67-I67)</f>
        <v>1.7073170731707317</v>
      </c>
      <c r="P67">
        <f t="shared" ref="P67:P101" si="3">G67/(J67-K67)</f>
        <v>36.842105263157897</v>
      </c>
    </row>
    <row r="68" spans="1:16">
      <c r="A68" t="s">
        <v>4</v>
      </c>
      <c r="B68">
        <v>67</v>
      </c>
      <c r="C68">
        <v>142</v>
      </c>
      <c r="D68">
        <v>208</v>
      </c>
      <c r="E68">
        <v>142</v>
      </c>
      <c r="F68">
        <v>76</v>
      </c>
      <c r="G68">
        <v>710</v>
      </c>
      <c r="H68">
        <v>624</v>
      </c>
      <c r="I68">
        <v>208</v>
      </c>
      <c r="J68">
        <v>76</v>
      </c>
      <c r="K68">
        <v>57</v>
      </c>
      <c r="L68">
        <v>1775</v>
      </c>
      <c r="M68">
        <v>710</v>
      </c>
      <c r="N68">
        <v>177</v>
      </c>
      <c r="O68">
        <f t="shared" si="2"/>
        <v>1.7067307692307692</v>
      </c>
      <c r="P68">
        <f t="shared" si="3"/>
        <v>37.368421052631582</v>
      </c>
    </row>
    <row r="69" spans="1:16">
      <c r="A69" t="s">
        <v>4</v>
      </c>
      <c r="B69">
        <v>68</v>
      </c>
      <c r="C69">
        <v>144</v>
      </c>
      <c r="D69">
        <v>211</v>
      </c>
      <c r="E69">
        <v>144</v>
      </c>
      <c r="F69">
        <v>77</v>
      </c>
      <c r="G69">
        <v>720</v>
      </c>
      <c r="H69">
        <v>633</v>
      </c>
      <c r="I69">
        <v>211</v>
      </c>
      <c r="J69">
        <v>77</v>
      </c>
      <c r="K69">
        <v>57</v>
      </c>
      <c r="L69">
        <v>1800</v>
      </c>
      <c r="M69">
        <v>720</v>
      </c>
      <c r="N69">
        <v>180</v>
      </c>
      <c r="O69">
        <f t="shared" si="2"/>
        <v>1.7061611374407584</v>
      </c>
      <c r="P69">
        <f t="shared" si="3"/>
        <v>36</v>
      </c>
    </row>
    <row r="70" spans="1:16">
      <c r="A70" t="s">
        <v>4</v>
      </c>
      <c r="B70">
        <v>69</v>
      </c>
      <c r="C70">
        <v>146</v>
      </c>
      <c r="D70">
        <v>214</v>
      </c>
      <c r="E70">
        <v>146</v>
      </c>
      <c r="F70">
        <v>78</v>
      </c>
      <c r="G70">
        <v>730</v>
      </c>
      <c r="H70">
        <v>642</v>
      </c>
      <c r="I70">
        <v>214</v>
      </c>
      <c r="J70">
        <v>78</v>
      </c>
      <c r="K70">
        <v>58</v>
      </c>
      <c r="L70">
        <v>1825</v>
      </c>
      <c r="M70">
        <v>730</v>
      </c>
      <c r="N70">
        <v>182</v>
      </c>
      <c r="O70">
        <f t="shared" si="2"/>
        <v>1.705607476635514</v>
      </c>
      <c r="P70">
        <f t="shared" si="3"/>
        <v>36.5</v>
      </c>
    </row>
    <row r="71" spans="1:16">
      <c r="A71" t="s">
        <v>4</v>
      </c>
      <c r="B71">
        <v>70</v>
      </c>
      <c r="C71">
        <v>148</v>
      </c>
      <c r="D71">
        <v>217</v>
      </c>
      <c r="E71">
        <v>148</v>
      </c>
      <c r="F71">
        <v>79</v>
      </c>
      <c r="G71">
        <v>740</v>
      </c>
      <c r="H71">
        <v>651</v>
      </c>
      <c r="I71">
        <v>217</v>
      </c>
      <c r="J71">
        <v>79</v>
      </c>
      <c r="K71">
        <v>59</v>
      </c>
      <c r="L71">
        <v>1850</v>
      </c>
      <c r="M71">
        <v>740</v>
      </c>
      <c r="N71">
        <v>185</v>
      </c>
      <c r="O71">
        <f t="shared" si="2"/>
        <v>1.7050691244239631</v>
      </c>
      <c r="P71">
        <f t="shared" si="3"/>
        <v>37</v>
      </c>
    </row>
    <row r="72" spans="1:16">
      <c r="A72" t="s">
        <v>4</v>
      </c>
      <c r="B72">
        <v>71</v>
      </c>
      <c r="C72">
        <v>150</v>
      </c>
      <c r="D72">
        <v>220</v>
      </c>
      <c r="E72">
        <v>150</v>
      </c>
      <c r="F72">
        <v>80</v>
      </c>
      <c r="G72">
        <v>750</v>
      </c>
      <c r="H72">
        <v>660</v>
      </c>
      <c r="I72">
        <v>220</v>
      </c>
      <c r="J72">
        <v>80</v>
      </c>
      <c r="K72">
        <v>60</v>
      </c>
      <c r="L72">
        <v>1875</v>
      </c>
      <c r="M72">
        <v>750</v>
      </c>
      <c r="N72">
        <v>187</v>
      </c>
      <c r="O72">
        <f t="shared" si="2"/>
        <v>1.7045454545454546</v>
      </c>
      <c r="P72">
        <f t="shared" si="3"/>
        <v>37.5</v>
      </c>
    </row>
    <row r="73" spans="1:16">
      <c r="A73" t="s">
        <v>4</v>
      </c>
      <c r="B73">
        <v>72</v>
      </c>
      <c r="C73">
        <v>152</v>
      </c>
      <c r="D73">
        <v>223</v>
      </c>
      <c r="E73">
        <v>152</v>
      </c>
      <c r="F73">
        <v>81</v>
      </c>
      <c r="G73">
        <v>760</v>
      </c>
      <c r="H73">
        <v>669</v>
      </c>
      <c r="I73">
        <v>223</v>
      </c>
      <c r="J73">
        <v>81</v>
      </c>
      <c r="K73">
        <v>60</v>
      </c>
      <c r="L73">
        <v>1900</v>
      </c>
      <c r="M73">
        <v>760</v>
      </c>
      <c r="N73">
        <v>190</v>
      </c>
      <c r="O73">
        <f t="shared" si="2"/>
        <v>1.7040358744394619</v>
      </c>
      <c r="P73">
        <f t="shared" si="3"/>
        <v>36.19047619047619</v>
      </c>
    </row>
    <row r="74" spans="1:16">
      <c r="A74" t="s">
        <v>4</v>
      </c>
      <c r="B74">
        <v>73</v>
      </c>
      <c r="C74">
        <v>154</v>
      </c>
      <c r="D74">
        <v>226</v>
      </c>
      <c r="E74">
        <v>154</v>
      </c>
      <c r="F74">
        <v>82</v>
      </c>
      <c r="G74">
        <v>770</v>
      </c>
      <c r="H74">
        <v>678</v>
      </c>
      <c r="I74">
        <v>226</v>
      </c>
      <c r="J74">
        <v>82</v>
      </c>
      <c r="K74">
        <v>61</v>
      </c>
      <c r="L74">
        <v>1925</v>
      </c>
      <c r="M74">
        <v>770</v>
      </c>
      <c r="N74">
        <v>192</v>
      </c>
      <c r="O74">
        <f t="shared" si="2"/>
        <v>1.7035398230088497</v>
      </c>
      <c r="P74">
        <f t="shared" si="3"/>
        <v>36.666666666666664</v>
      </c>
    </row>
    <row r="75" spans="1:16">
      <c r="A75" t="s">
        <v>4</v>
      </c>
      <c r="B75">
        <v>74</v>
      </c>
      <c r="C75">
        <v>156</v>
      </c>
      <c r="D75">
        <v>229</v>
      </c>
      <c r="E75">
        <v>156</v>
      </c>
      <c r="F75">
        <v>83</v>
      </c>
      <c r="G75">
        <v>780</v>
      </c>
      <c r="H75">
        <v>687</v>
      </c>
      <c r="I75">
        <v>229</v>
      </c>
      <c r="J75">
        <v>83</v>
      </c>
      <c r="K75">
        <v>62</v>
      </c>
      <c r="L75">
        <v>1950</v>
      </c>
      <c r="M75">
        <v>780</v>
      </c>
      <c r="N75">
        <v>195</v>
      </c>
      <c r="O75">
        <f t="shared" si="2"/>
        <v>1.7030567685589519</v>
      </c>
      <c r="P75">
        <f t="shared" si="3"/>
        <v>37.142857142857146</v>
      </c>
    </row>
    <row r="76" spans="1:16">
      <c r="A76" t="s">
        <v>4</v>
      </c>
      <c r="B76">
        <v>75</v>
      </c>
      <c r="C76">
        <v>158</v>
      </c>
      <c r="D76">
        <v>232</v>
      </c>
      <c r="E76">
        <v>158</v>
      </c>
      <c r="F76">
        <v>84</v>
      </c>
      <c r="G76">
        <v>790</v>
      </c>
      <c r="H76">
        <v>696</v>
      </c>
      <c r="I76">
        <v>232</v>
      </c>
      <c r="J76">
        <v>84</v>
      </c>
      <c r="K76">
        <v>63</v>
      </c>
      <c r="L76">
        <v>1975</v>
      </c>
      <c r="M76">
        <v>790</v>
      </c>
      <c r="N76">
        <v>197</v>
      </c>
      <c r="O76">
        <f t="shared" si="2"/>
        <v>1.7025862068965518</v>
      </c>
      <c r="P76">
        <f t="shared" si="3"/>
        <v>37.61904761904762</v>
      </c>
    </row>
    <row r="77" spans="1:16">
      <c r="A77" t="s">
        <v>4</v>
      </c>
      <c r="B77">
        <v>76</v>
      </c>
      <c r="C77">
        <v>160</v>
      </c>
      <c r="D77">
        <v>235</v>
      </c>
      <c r="E77">
        <v>160</v>
      </c>
      <c r="F77">
        <v>85</v>
      </c>
      <c r="G77">
        <v>800</v>
      </c>
      <c r="H77">
        <v>705</v>
      </c>
      <c r="I77">
        <v>235</v>
      </c>
      <c r="J77">
        <v>85</v>
      </c>
      <c r="K77">
        <v>63</v>
      </c>
      <c r="L77">
        <v>2000</v>
      </c>
      <c r="M77">
        <v>800</v>
      </c>
      <c r="N77">
        <v>200</v>
      </c>
      <c r="O77">
        <f t="shared" si="2"/>
        <v>1.7021276595744681</v>
      </c>
      <c r="P77">
        <f t="shared" si="3"/>
        <v>36.363636363636367</v>
      </c>
    </row>
    <row r="78" spans="1:16">
      <c r="A78" t="s">
        <v>4</v>
      </c>
      <c r="B78">
        <v>77</v>
      </c>
      <c r="C78">
        <v>162</v>
      </c>
      <c r="D78">
        <v>238</v>
      </c>
      <c r="E78">
        <v>162</v>
      </c>
      <c r="F78">
        <v>86</v>
      </c>
      <c r="G78">
        <v>810</v>
      </c>
      <c r="H78">
        <v>714</v>
      </c>
      <c r="I78">
        <v>238</v>
      </c>
      <c r="J78">
        <v>86</v>
      </c>
      <c r="K78">
        <v>64</v>
      </c>
      <c r="L78">
        <v>2025</v>
      </c>
      <c r="M78">
        <v>810</v>
      </c>
      <c r="N78">
        <v>202</v>
      </c>
      <c r="O78">
        <f t="shared" si="2"/>
        <v>1.7016806722689075</v>
      </c>
      <c r="P78">
        <f t="shared" si="3"/>
        <v>36.81818181818182</v>
      </c>
    </row>
    <row r="79" spans="1:16">
      <c r="A79" t="s">
        <v>4</v>
      </c>
      <c r="B79">
        <v>78</v>
      </c>
      <c r="C79">
        <v>164</v>
      </c>
      <c r="D79">
        <v>241</v>
      </c>
      <c r="E79">
        <v>164</v>
      </c>
      <c r="F79">
        <v>87</v>
      </c>
      <c r="G79">
        <v>820</v>
      </c>
      <c r="H79">
        <v>723</v>
      </c>
      <c r="I79">
        <v>241</v>
      </c>
      <c r="J79">
        <v>87</v>
      </c>
      <c r="K79">
        <v>65</v>
      </c>
      <c r="L79">
        <v>2050</v>
      </c>
      <c r="M79">
        <v>820</v>
      </c>
      <c r="N79">
        <v>205</v>
      </c>
      <c r="O79">
        <f t="shared" si="2"/>
        <v>1.7012448132780082</v>
      </c>
      <c r="P79">
        <f t="shared" si="3"/>
        <v>37.272727272727273</v>
      </c>
    </row>
    <row r="80" spans="1:16">
      <c r="A80" t="s">
        <v>4</v>
      </c>
      <c r="B80">
        <v>79</v>
      </c>
      <c r="C80">
        <v>166</v>
      </c>
      <c r="D80">
        <v>244</v>
      </c>
      <c r="E80">
        <v>166</v>
      </c>
      <c r="F80">
        <v>88</v>
      </c>
      <c r="G80">
        <v>830</v>
      </c>
      <c r="H80">
        <v>732</v>
      </c>
      <c r="I80">
        <v>244</v>
      </c>
      <c r="J80">
        <v>88</v>
      </c>
      <c r="K80">
        <v>66</v>
      </c>
      <c r="L80">
        <v>2075</v>
      </c>
      <c r="M80">
        <v>830</v>
      </c>
      <c r="N80">
        <v>207</v>
      </c>
      <c r="O80">
        <f t="shared" si="2"/>
        <v>1.7008196721311475</v>
      </c>
      <c r="P80">
        <f t="shared" si="3"/>
        <v>37.727272727272727</v>
      </c>
    </row>
    <row r="81" spans="1:16">
      <c r="A81" t="s">
        <v>4</v>
      </c>
      <c r="B81">
        <v>80</v>
      </c>
      <c r="C81">
        <v>168</v>
      </c>
      <c r="D81">
        <v>247</v>
      </c>
      <c r="E81">
        <v>168</v>
      </c>
      <c r="F81">
        <v>89</v>
      </c>
      <c r="G81">
        <v>840</v>
      </c>
      <c r="H81">
        <v>741</v>
      </c>
      <c r="I81">
        <v>247</v>
      </c>
      <c r="J81">
        <v>89</v>
      </c>
      <c r="K81">
        <v>66</v>
      </c>
      <c r="L81">
        <v>2100</v>
      </c>
      <c r="M81">
        <v>840</v>
      </c>
      <c r="N81">
        <v>210</v>
      </c>
      <c r="O81">
        <f t="shared" si="2"/>
        <v>1.7004048582995952</v>
      </c>
      <c r="P81">
        <f t="shared" si="3"/>
        <v>36.521739130434781</v>
      </c>
    </row>
    <row r="82" spans="1:16">
      <c r="A82" t="s">
        <v>4</v>
      </c>
      <c r="B82">
        <v>81</v>
      </c>
      <c r="C82">
        <v>170</v>
      </c>
      <c r="D82">
        <v>250</v>
      </c>
      <c r="E82">
        <v>170</v>
      </c>
      <c r="F82">
        <v>90</v>
      </c>
      <c r="G82">
        <v>850</v>
      </c>
      <c r="H82">
        <v>750</v>
      </c>
      <c r="I82">
        <v>250</v>
      </c>
      <c r="J82">
        <v>90</v>
      </c>
      <c r="K82">
        <v>67</v>
      </c>
      <c r="L82">
        <v>2125</v>
      </c>
      <c r="M82">
        <v>850</v>
      </c>
      <c r="N82">
        <v>212</v>
      </c>
      <c r="O82">
        <f t="shared" si="2"/>
        <v>1.7</v>
      </c>
      <c r="P82">
        <f t="shared" si="3"/>
        <v>36.956521739130437</v>
      </c>
    </row>
    <row r="83" spans="1:16">
      <c r="A83" t="s">
        <v>4</v>
      </c>
      <c r="B83">
        <v>82</v>
      </c>
      <c r="C83">
        <v>172</v>
      </c>
      <c r="D83">
        <v>253</v>
      </c>
      <c r="E83">
        <v>172</v>
      </c>
      <c r="F83">
        <v>91</v>
      </c>
      <c r="G83">
        <v>860</v>
      </c>
      <c r="H83">
        <v>759</v>
      </c>
      <c r="I83">
        <v>253</v>
      </c>
      <c r="J83">
        <v>91</v>
      </c>
      <c r="K83">
        <v>68</v>
      </c>
      <c r="L83">
        <v>2150</v>
      </c>
      <c r="M83">
        <v>860</v>
      </c>
      <c r="N83">
        <v>215</v>
      </c>
      <c r="O83">
        <f t="shared" si="2"/>
        <v>1.6996047430830039</v>
      </c>
      <c r="P83">
        <f t="shared" si="3"/>
        <v>37.391304347826086</v>
      </c>
    </row>
    <row r="84" spans="1:16">
      <c r="A84" t="s">
        <v>4</v>
      </c>
      <c r="B84">
        <v>83</v>
      </c>
      <c r="C84">
        <v>174</v>
      </c>
      <c r="D84">
        <v>256</v>
      </c>
      <c r="E84">
        <v>174</v>
      </c>
      <c r="F84">
        <v>92</v>
      </c>
      <c r="G84">
        <v>870</v>
      </c>
      <c r="H84">
        <v>768</v>
      </c>
      <c r="I84">
        <v>256</v>
      </c>
      <c r="J84">
        <v>92</v>
      </c>
      <c r="K84">
        <v>69</v>
      </c>
      <c r="L84">
        <v>2175</v>
      </c>
      <c r="M84">
        <v>870</v>
      </c>
      <c r="N84">
        <v>217</v>
      </c>
      <c r="O84">
        <f t="shared" si="2"/>
        <v>1.69921875</v>
      </c>
      <c r="P84">
        <f t="shared" si="3"/>
        <v>37.826086956521742</v>
      </c>
    </row>
    <row r="85" spans="1:16">
      <c r="A85" t="s">
        <v>4</v>
      </c>
      <c r="B85">
        <v>84</v>
      </c>
      <c r="C85">
        <v>176</v>
      </c>
      <c r="D85">
        <v>259</v>
      </c>
      <c r="E85">
        <v>176</v>
      </c>
      <c r="F85">
        <v>93</v>
      </c>
      <c r="G85">
        <v>880</v>
      </c>
      <c r="H85">
        <v>777</v>
      </c>
      <c r="I85">
        <v>259</v>
      </c>
      <c r="J85">
        <v>93</v>
      </c>
      <c r="K85">
        <v>69</v>
      </c>
      <c r="L85">
        <v>2200</v>
      </c>
      <c r="M85">
        <v>880</v>
      </c>
      <c r="N85">
        <v>220</v>
      </c>
      <c r="O85">
        <f t="shared" si="2"/>
        <v>1.6988416988416988</v>
      </c>
      <c r="P85">
        <f t="shared" si="3"/>
        <v>36.666666666666664</v>
      </c>
    </row>
    <row r="86" spans="1:16">
      <c r="A86" t="s">
        <v>4</v>
      </c>
      <c r="B86">
        <v>85</v>
      </c>
      <c r="C86">
        <v>178</v>
      </c>
      <c r="D86">
        <v>262</v>
      </c>
      <c r="E86">
        <v>178</v>
      </c>
      <c r="F86">
        <v>94</v>
      </c>
      <c r="G86">
        <v>890</v>
      </c>
      <c r="H86">
        <v>786</v>
      </c>
      <c r="I86">
        <v>262</v>
      </c>
      <c r="J86">
        <v>94</v>
      </c>
      <c r="K86">
        <v>70</v>
      </c>
      <c r="L86">
        <v>2225</v>
      </c>
      <c r="M86">
        <v>890</v>
      </c>
      <c r="N86">
        <v>222</v>
      </c>
      <c r="O86">
        <f t="shared" si="2"/>
        <v>1.6984732824427482</v>
      </c>
      <c r="P86">
        <f t="shared" si="3"/>
        <v>37.083333333333336</v>
      </c>
    </row>
    <row r="87" spans="1:16">
      <c r="A87" t="s">
        <v>4</v>
      </c>
      <c r="B87">
        <v>86</v>
      </c>
      <c r="C87">
        <v>180</v>
      </c>
      <c r="D87">
        <v>265</v>
      </c>
      <c r="E87">
        <v>180</v>
      </c>
      <c r="F87">
        <v>95</v>
      </c>
      <c r="G87">
        <v>900</v>
      </c>
      <c r="H87">
        <v>795</v>
      </c>
      <c r="I87">
        <v>265</v>
      </c>
      <c r="J87">
        <v>95</v>
      </c>
      <c r="K87">
        <v>71</v>
      </c>
      <c r="L87">
        <v>2250</v>
      </c>
      <c r="M87">
        <v>900</v>
      </c>
      <c r="N87">
        <v>225</v>
      </c>
      <c r="O87">
        <f t="shared" si="2"/>
        <v>1.6981132075471699</v>
      </c>
      <c r="P87">
        <f t="shared" si="3"/>
        <v>37.5</v>
      </c>
    </row>
    <row r="88" spans="1:16">
      <c r="A88" t="s">
        <v>4</v>
      </c>
      <c r="B88">
        <v>87</v>
      </c>
      <c r="C88">
        <v>182</v>
      </c>
      <c r="D88">
        <v>268</v>
      </c>
      <c r="E88">
        <v>182</v>
      </c>
      <c r="F88">
        <v>96</v>
      </c>
      <c r="G88">
        <v>910</v>
      </c>
      <c r="H88">
        <v>804</v>
      </c>
      <c r="I88">
        <v>268</v>
      </c>
      <c r="J88">
        <v>96</v>
      </c>
      <c r="K88">
        <v>72</v>
      </c>
      <c r="L88">
        <v>2275</v>
      </c>
      <c r="M88">
        <v>910</v>
      </c>
      <c r="N88">
        <v>227</v>
      </c>
      <c r="O88">
        <f t="shared" si="2"/>
        <v>1.6977611940298507</v>
      </c>
      <c r="P88">
        <f t="shared" si="3"/>
        <v>37.916666666666664</v>
      </c>
    </row>
    <row r="89" spans="1:16">
      <c r="A89" t="s">
        <v>4</v>
      </c>
      <c r="B89">
        <v>88</v>
      </c>
      <c r="C89">
        <v>184</v>
      </c>
      <c r="D89">
        <v>271</v>
      </c>
      <c r="E89">
        <v>184</v>
      </c>
      <c r="F89">
        <v>97</v>
      </c>
      <c r="G89">
        <v>920</v>
      </c>
      <c r="H89">
        <v>813</v>
      </c>
      <c r="I89">
        <v>271</v>
      </c>
      <c r="J89">
        <v>97</v>
      </c>
      <c r="K89">
        <v>72</v>
      </c>
      <c r="L89">
        <v>2300</v>
      </c>
      <c r="M89">
        <v>920</v>
      </c>
      <c r="N89">
        <v>230</v>
      </c>
      <c r="O89">
        <f t="shared" si="2"/>
        <v>1.6974169741697418</v>
      </c>
      <c r="P89">
        <f t="shared" si="3"/>
        <v>36.799999999999997</v>
      </c>
    </row>
    <row r="90" spans="1:16">
      <c r="A90" t="s">
        <v>4</v>
      </c>
      <c r="B90">
        <v>89</v>
      </c>
      <c r="C90">
        <v>186</v>
      </c>
      <c r="D90">
        <v>274</v>
      </c>
      <c r="E90">
        <v>186</v>
      </c>
      <c r="F90">
        <v>98</v>
      </c>
      <c r="G90">
        <v>930</v>
      </c>
      <c r="H90">
        <v>822</v>
      </c>
      <c r="I90">
        <v>274</v>
      </c>
      <c r="J90">
        <v>98</v>
      </c>
      <c r="K90">
        <v>73</v>
      </c>
      <c r="L90">
        <v>2325</v>
      </c>
      <c r="M90">
        <v>930</v>
      </c>
      <c r="N90">
        <v>232</v>
      </c>
      <c r="O90">
        <f t="shared" si="2"/>
        <v>1.697080291970803</v>
      </c>
      <c r="P90">
        <f t="shared" si="3"/>
        <v>37.200000000000003</v>
      </c>
    </row>
    <row r="91" spans="1:16">
      <c r="A91" t="s">
        <v>4</v>
      </c>
      <c r="B91">
        <v>90</v>
      </c>
      <c r="C91">
        <v>188</v>
      </c>
      <c r="D91">
        <v>277</v>
      </c>
      <c r="E91">
        <v>188</v>
      </c>
      <c r="F91">
        <v>99</v>
      </c>
      <c r="G91">
        <v>940</v>
      </c>
      <c r="H91">
        <v>831</v>
      </c>
      <c r="I91">
        <v>277</v>
      </c>
      <c r="J91">
        <v>99</v>
      </c>
      <c r="K91">
        <v>74</v>
      </c>
      <c r="L91">
        <v>2350</v>
      </c>
      <c r="M91">
        <v>940</v>
      </c>
      <c r="N91">
        <v>235</v>
      </c>
      <c r="O91">
        <f t="shared" si="2"/>
        <v>1.6967509025270757</v>
      </c>
      <c r="P91">
        <f t="shared" si="3"/>
        <v>37.6</v>
      </c>
    </row>
    <row r="92" spans="1:16">
      <c r="A92" t="s">
        <v>4</v>
      </c>
      <c r="B92">
        <v>91</v>
      </c>
      <c r="C92">
        <v>190</v>
      </c>
      <c r="D92">
        <v>280</v>
      </c>
      <c r="E92">
        <v>190</v>
      </c>
      <c r="F92">
        <v>100</v>
      </c>
      <c r="G92">
        <v>950</v>
      </c>
      <c r="H92">
        <v>840</v>
      </c>
      <c r="I92">
        <v>280</v>
      </c>
      <c r="J92">
        <v>100</v>
      </c>
      <c r="K92">
        <v>75</v>
      </c>
      <c r="L92">
        <v>2375</v>
      </c>
      <c r="M92">
        <v>950</v>
      </c>
      <c r="N92">
        <v>237</v>
      </c>
      <c r="O92">
        <f t="shared" si="2"/>
        <v>1.6964285714285714</v>
      </c>
      <c r="P92">
        <f t="shared" si="3"/>
        <v>38</v>
      </c>
    </row>
    <row r="93" spans="1:16">
      <c r="A93" t="s">
        <v>4</v>
      </c>
      <c r="B93">
        <v>92</v>
      </c>
      <c r="C93">
        <v>192</v>
      </c>
      <c r="D93">
        <v>283</v>
      </c>
      <c r="E93">
        <v>192</v>
      </c>
      <c r="F93">
        <v>101</v>
      </c>
      <c r="G93">
        <v>960</v>
      </c>
      <c r="H93">
        <v>849</v>
      </c>
      <c r="I93">
        <v>283</v>
      </c>
      <c r="J93">
        <v>101</v>
      </c>
      <c r="K93">
        <v>75</v>
      </c>
      <c r="L93">
        <v>2400</v>
      </c>
      <c r="M93">
        <v>960</v>
      </c>
      <c r="N93">
        <v>240</v>
      </c>
      <c r="O93">
        <f t="shared" si="2"/>
        <v>1.6961130742049471</v>
      </c>
      <c r="P93">
        <f t="shared" si="3"/>
        <v>36.92307692307692</v>
      </c>
    </row>
    <row r="94" spans="1:16">
      <c r="A94" t="s">
        <v>4</v>
      </c>
      <c r="B94">
        <v>93</v>
      </c>
      <c r="C94">
        <v>194</v>
      </c>
      <c r="D94">
        <v>286</v>
      </c>
      <c r="E94">
        <v>194</v>
      </c>
      <c r="F94">
        <v>102</v>
      </c>
      <c r="G94">
        <v>970</v>
      </c>
      <c r="H94">
        <v>858</v>
      </c>
      <c r="I94">
        <v>286</v>
      </c>
      <c r="J94">
        <v>102</v>
      </c>
      <c r="K94">
        <v>76</v>
      </c>
      <c r="L94">
        <v>2425</v>
      </c>
      <c r="M94">
        <v>970</v>
      </c>
      <c r="N94">
        <v>242</v>
      </c>
      <c r="O94">
        <f t="shared" si="2"/>
        <v>1.6958041958041958</v>
      </c>
      <c r="P94">
        <f t="shared" si="3"/>
        <v>37.307692307692307</v>
      </c>
    </row>
    <row r="95" spans="1:16">
      <c r="A95" t="s">
        <v>4</v>
      </c>
      <c r="B95">
        <v>94</v>
      </c>
      <c r="C95">
        <v>196</v>
      </c>
      <c r="D95">
        <v>289</v>
      </c>
      <c r="E95">
        <v>196</v>
      </c>
      <c r="F95">
        <v>103</v>
      </c>
      <c r="G95">
        <v>980</v>
      </c>
      <c r="H95">
        <v>867</v>
      </c>
      <c r="I95">
        <v>289</v>
      </c>
      <c r="J95">
        <v>103</v>
      </c>
      <c r="K95">
        <v>77</v>
      </c>
      <c r="L95">
        <v>2450</v>
      </c>
      <c r="M95">
        <v>980</v>
      </c>
      <c r="N95">
        <v>245</v>
      </c>
      <c r="O95">
        <f t="shared" si="2"/>
        <v>1.6955017301038062</v>
      </c>
      <c r="P95">
        <f t="shared" si="3"/>
        <v>37.692307692307693</v>
      </c>
    </row>
    <row r="96" spans="1:16">
      <c r="A96" t="s">
        <v>4</v>
      </c>
      <c r="B96">
        <v>95</v>
      </c>
      <c r="C96">
        <v>198</v>
      </c>
      <c r="D96">
        <v>292</v>
      </c>
      <c r="E96">
        <v>198</v>
      </c>
      <c r="F96">
        <v>104</v>
      </c>
      <c r="G96">
        <v>990</v>
      </c>
      <c r="H96">
        <v>876</v>
      </c>
      <c r="I96">
        <v>292</v>
      </c>
      <c r="J96">
        <v>104</v>
      </c>
      <c r="K96">
        <v>78</v>
      </c>
      <c r="L96">
        <v>2475</v>
      </c>
      <c r="M96">
        <v>990</v>
      </c>
      <c r="N96">
        <v>247</v>
      </c>
      <c r="O96">
        <f t="shared" si="2"/>
        <v>1.6952054794520548</v>
      </c>
      <c r="P96">
        <f t="shared" si="3"/>
        <v>38.07692307692308</v>
      </c>
    </row>
    <row r="97" spans="1:16">
      <c r="A97" t="s">
        <v>4</v>
      </c>
      <c r="B97">
        <v>96</v>
      </c>
      <c r="C97">
        <v>200</v>
      </c>
      <c r="D97">
        <v>295</v>
      </c>
      <c r="E97">
        <v>200</v>
      </c>
      <c r="F97">
        <v>105</v>
      </c>
      <c r="G97">
        <v>1000</v>
      </c>
      <c r="H97">
        <v>885</v>
      </c>
      <c r="I97">
        <v>295</v>
      </c>
      <c r="J97">
        <v>105</v>
      </c>
      <c r="K97">
        <v>78</v>
      </c>
      <c r="L97">
        <v>2500</v>
      </c>
      <c r="M97">
        <v>1000</v>
      </c>
      <c r="N97">
        <v>250</v>
      </c>
      <c r="O97">
        <f t="shared" si="2"/>
        <v>1.6949152542372881</v>
      </c>
      <c r="P97">
        <f t="shared" si="3"/>
        <v>37.037037037037038</v>
      </c>
    </row>
    <row r="98" spans="1:16">
      <c r="A98" t="s">
        <v>4</v>
      </c>
      <c r="B98">
        <v>97</v>
      </c>
      <c r="C98">
        <v>202</v>
      </c>
      <c r="D98">
        <v>298</v>
      </c>
      <c r="E98">
        <v>202</v>
      </c>
      <c r="F98">
        <v>106</v>
      </c>
      <c r="G98">
        <v>1010</v>
      </c>
      <c r="H98">
        <v>894</v>
      </c>
      <c r="I98">
        <v>298</v>
      </c>
      <c r="J98">
        <v>106</v>
      </c>
      <c r="K98">
        <v>79</v>
      </c>
      <c r="L98">
        <v>2525</v>
      </c>
      <c r="M98">
        <v>1010</v>
      </c>
      <c r="N98">
        <v>252</v>
      </c>
      <c r="O98">
        <f t="shared" si="2"/>
        <v>1.6946308724832215</v>
      </c>
      <c r="P98">
        <f t="shared" si="3"/>
        <v>37.407407407407405</v>
      </c>
    </row>
    <row r="99" spans="1:16">
      <c r="A99" t="s">
        <v>4</v>
      </c>
      <c r="B99">
        <v>98</v>
      </c>
      <c r="C99">
        <v>204</v>
      </c>
      <c r="D99">
        <v>301</v>
      </c>
      <c r="E99">
        <v>204</v>
      </c>
      <c r="F99">
        <v>107</v>
      </c>
      <c r="G99">
        <v>1020</v>
      </c>
      <c r="H99">
        <v>903</v>
      </c>
      <c r="I99">
        <v>301</v>
      </c>
      <c r="J99">
        <v>107</v>
      </c>
      <c r="K99">
        <v>80</v>
      </c>
      <c r="L99">
        <v>2550</v>
      </c>
      <c r="M99">
        <v>1020</v>
      </c>
      <c r="N99">
        <v>255</v>
      </c>
      <c r="O99">
        <f t="shared" si="2"/>
        <v>1.6943521594684385</v>
      </c>
      <c r="P99">
        <f t="shared" si="3"/>
        <v>37.777777777777779</v>
      </c>
    </row>
    <row r="100" spans="1:16">
      <c r="A100" t="s">
        <v>4</v>
      </c>
      <c r="B100">
        <v>99</v>
      </c>
      <c r="C100">
        <v>206</v>
      </c>
      <c r="D100">
        <v>304</v>
      </c>
      <c r="E100">
        <v>206</v>
      </c>
      <c r="F100">
        <v>108</v>
      </c>
      <c r="G100">
        <v>1030</v>
      </c>
      <c r="H100">
        <v>912</v>
      </c>
      <c r="I100">
        <v>304</v>
      </c>
      <c r="J100">
        <v>108</v>
      </c>
      <c r="K100">
        <v>81</v>
      </c>
      <c r="L100">
        <v>2575</v>
      </c>
      <c r="M100">
        <v>1030</v>
      </c>
      <c r="N100">
        <v>257</v>
      </c>
      <c r="O100">
        <f t="shared" si="2"/>
        <v>1.694078947368421</v>
      </c>
      <c r="P100">
        <f t="shared" si="3"/>
        <v>38.148148148148145</v>
      </c>
    </row>
    <row r="101" spans="1:16">
      <c r="A101" t="s">
        <v>4</v>
      </c>
      <c r="B101">
        <v>100</v>
      </c>
      <c r="C101">
        <v>208</v>
      </c>
      <c r="D101">
        <v>307</v>
      </c>
      <c r="E101">
        <v>208</v>
      </c>
      <c r="F101">
        <v>109</v>
      </c>
      <c r="G101">
        <v>1040</v>
      </c>
      <c r="H101">
        <v>921</v>
      </c>
      <c r="I101">
        <v>307</v>
      </c>
      <c r="J101">
        <v>109</v>
      </c>
      <c r="K101">
        <v>81</v>
      </c>
      <c r="L101">
        <v>2600</v>
      </c>
      <c r="M101">
        <v>1040</v>
      </c>
      <c r="N101">
        <v>260</v>
      </c>
      <c r="O101">
        <f t="shared" si="2"/>
        <v>1.6938110749185669</v>
      </c>
      <c r="P101">
        <f t="shared" si="3"/>
        <v>37.142857142857146</v>
      </c>
    </row>
  </sheetData>
  <phoneticPr fontId="1" type="noConversion"/>
  <pageMargins left="0.7" right="0.7" top="0.75" bottom="0.75" header="0.3" footer="0.3"/>
  <legacyDrawing r:id="rId1"/>
  <controls>
    <control shapeId="9217" r:id="rId2" name="CommandButton1"/>
  </controls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P101"/>
  <sheetViews>
    <sheetView topLeftCell="A79" workbookViewId="0">
      <selection activeCell="O2" sqref="O2:P101"/>
    </sheetView>
  </sheetViews>
  <sheetFormatPr defaultRowHeight="13.5"/>
  <sheetData>
    <row r="1" spans="1:16">
      <c r="A1" t="s">
        <v>0</v>
      </c>
      <c r="B1" t="s">
        <v>137</v>
      </c>
      <c r="C1" t="s">
        <v>8</v>
      </c>
      <c r="D1" t="s">
        <v>10</v>
      </c>
      <c r="E1" t="s">
        <v>12</v>
      </c>
      <c r="F1" t="s">
        <v>14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26</v>
      </c>
    </row>
    <row r="2" spans="1:16">
      <c r="A2" t="s">
        <v>6</v>
      </c>
      <c r="B2">
        <v>1</v>
      </c>
      <c r="C2">
        <v>10</v>
      </c>
      <c r="D2">
        <v>10</v>
      </c>
      <c r="E2">
        <v>10</v>
      </c>
      <c r="F2">
        <v>10</v>
      </c>
      <c r="G2">
        <v>37</v>
      </c>
      <c r="H2">
        <v>10</v>
      </c>
      <c r="I2">
        <v>5</v>
      </c>
      <c r="J2">
        <v>30</v>
      </c>
      <c r="K2">
        <v>12</v>
      </c>
      <c r="L2">
        <v>100</v>
      </c>
      <c r="M2">
        <v>20</v>
      </c>
      <c r="N2">
        <v>10</v>
      </c>
      <c r="O2">
        <f>G2/(H2-I2)</f>
        <v>7.4</v>
      </c>
      <c r="P2">
        <f>G2/(J2-K2)</f>
        <v>2.0555555555555554</v>
      </c>
    </row>
    <row r="3" spans="1:16">
      <c r="A3" t="s">
        <v>6</v>
      </c>
      <c r="B3">
        <v>2</v>
      </c>
      <c r="C3">
        <v>12</v>
      </c>
      <c r="D3">
        <v>11</v>
      </c>
      <c r="E3">
        <v>12</v>
      </c>
      <c r="F3">
        <v>13</v>
      </c>
      <c r="G3">
        <v>45</v>
      </c>
      <c r="H3">
        <v>11</v>
      </c>
      <c r="I3">
        <v>5</v>
      </c>
      <c r="J3">
        <v>39</v>
      </c>
      <c r="K3">
        <v>16</v>
      </c>
      <c r="L3">
        <v>120</v>
      </c>
      <c r="M3">
        <v>24</v>
      </c>
      <c r="N3">
        <v>12</v>
      </c>
      <c r="O3">
        <f t="shared" ref="O3:O66" si="0">G3/(H3-I3)</f>
        <v>7.5</v>
      </c>
      <c r="P3">
        <f t="shared" ref="P3:P66" si="1">G3/(J3-K3)</f>
        <v>1.9565217391304348</v>
      </c>
    </row>
    <row r="4" spans="1:16">
      <c r="A4" t="s">
        <v>6</v>
      </c>
      <c r="B4">
        <v>3</v>
      </c>
      <c r="C4">
        <v>14</v>
      </c>
      <c r="D4">
        <v>12</v>
      </c>
      <c r="E4">
        <v>14</v>
      </c>
      <c r="F4">
        <v>16</v>
      </c>
      <c r="G4">
        <v>52</v>
      </c>
      <c r="H4">
        <v>12</v>
      </c>
      <c r="I4">
        <v>6</v>
      </c>
      <c r="J4">
        <v>48</v>
      </c>
      <c r="K4">
        <v>20</v>
      </c>
      <c r="L4">
        <v>140</v>
      </c>
      <c r="M4">
        <v>28</v>
      </c>
      <c r="N4">
        <v>14</v>
      </c>
      <c r="O4">
        <f t="shared" si="0"/>
        <v>8.6666666666666661</v>
      </c>
      <c r="P4">
        <f t="shared" si="1"/>
        <v>1.8571428571428572</v>
      </c>
    </row>
    <row r="5" spans="1:16">
      <c r="A5" t="s">
        <v>6</v>
      </c>
      <c r="B5">
        <v>4</v>
      </c>
      <c r="C5">
        <v>16</v>
      </c>
      <c r="D5">
        <v>13</v>
      </c>
      <c r="E5">
        <v>16</v>
      </c>
      <c r="F5">
        <v>19</v>
      </c>
      <c r="G5">
        <v>60</v>
      </c>
      <c r="H5">
        <v>13</v>
      </c>
      <c r="I5">
        <v>6</v>
      </c>
      <c r="J5">
        <v>57</v>
      </c>
      <c r="K5">
        <v>23</v>
      </c>
      <c r="L5">
        <v>160</v>
      </c>
      <c r="M5">
        <v>32</v>
      </c>
      <c r="N5">
        <v>16</v>
      </c>
      <c r="O5">
        <f t="shared" si="0"/>
        <v>8.5714285714285712</v>
      </c>
      <c r="P5">
        <f t="shared" si="1"/>
        <v>1.7647058823529411</v>
      </c>
    </row>
    <row r="6" spans="1:16">
      <c r="A6" t="s">
        <v>6</v>
      </c>
      <c r="B6">
        <v>5</v>
      </c>
      <c r="C6">
        <v>18</v>
      </c>
      <c r="D6">
        <v>14</v>
      </c>
      <c r="E6">
        <v>18</v>
      </c>
      <c r="F6">
        <v>22</v>
      </c>
      <c r="G6">
        <v>67</v>
      </c>
      <c r="H6">
        <v>14</v>
      </c>
      <c r="I6">
        <v>7</v>
      </c>
      <c r="J6">
        <v>66</v>
      </c>
      <c r="K6">
        <v>27</v>
      </c>
      <c r="L6">
        <v>180</v>
      </c>
      <c r="M6">
        <v>36</v>
      </c>
      <c r="N6">
        <v>18</v>
      </c>
      <c r="O6">
        <f t="shared" si="0"/>
        <v>9.5714285714285712</v>
      </c>
      <c r="P6">
        <f t="shared" si="1"/>
        <v>1.7179487179487178</v>
      </c>
    </row>
    <row r="7" spans="1:16">
      <c r="A7" t="s">
        <v>6</v>
      </c>
      <c r="B7">
        <v>6</v>
      </c>
      <c r="C7">
        <v>20</v>
      </c>
      <c r="D7">
        <v>15</v>
      </c>
      <c r="E7">
        <v>20</v>
      </c>
      <c r="F7">
        <v>25</v>
      </c>
      <c r="G7">
        <v>75</v>
      </c>
      <c r="H7">
        <v>15</v>
      </c>
      <c r="I7">
        <v>7</v>
      </c>
      <c r="J7">
        <v>75</v>
      </c>
      <c r="K7">
        <v>31</v>
      </c>
      <c r="L7">
        <v>200</v>
      </c>
      <c r="M7">
        <v>40</v>
      </c>
      <c r="N7">
        <v>20</v>
      </c>
      <c r="O7">
        <f t="shared" si="0"/>
        <v>9.375</v>
      </c>
      <c r="P7">
        <f t="shared" si="1"/>
        <v>1.7045454545454546</v>
      </c>
    </row>
    <row r="8" spans="1:16">
      <c r="A8" t="s">
        <v>6</v>
      </c>
      <c r="B8">
        <v>7</v>
      </c>
      <c r="C8">
        <v>22</v>
      </c>
      <c r="D8">
        <v>16</v>
      </c>
      <c r="E8">
        <v>22</v>
      </c>
      <c r="F8">
        <v>28</v>
      </c>
      <c r="G8">
        <v>82</v>
      </c>
      <c r="H8">
        <v>16</v>
      </c>
      <c r="I8">
        <v>8</v>
      </c>
      <c r="J8">
        <v>84</v>
      </c>
      <c r="K8">
        <v>35</v>
      </c>
      <c r="L8">
        <v>220</v>
      </c>
      <c r="M8">
        <v>44</v>
      </c>
      <c r="N8">
        <v>22</v>
      </c>
      <c r="O8">
        <f t="shared" si="0"/>
        <v>10.25</v>
      </c>
      <c r="P8">
        <f t="shared" si="1"/>
        <v>1.6734693877551021</v>
      </c>
    </row>
    <row r="9" spans="1:16">
      <c r="A9" t="s">
        <v>6</v>
      </c>
      <c r="B9">
        <v>8</v>
      </c>
      <c r="C9">
        <v>24</v>
      </c>
      <c r="D9">
        <v>17</v>
      </c>
      <c r="E9">
        <v>24</v>
      </c>
      <c r="F9">
        <v>31</v>
      </c>
      <c r="G9">
        <v>90</v>
      </c>
      <c r="H9">
        <v>17</v>
      </c>
      <c r="I9">
        <v>8</v>
      </c>
      <c r="J9">
        <v>93</v>
      </c>
      <c r="K9">
        <v>38</v>
      </c>
      <c r="L9">
        <v>240</v>
      </c>
      <c r="M9">
        <v>48</v>
      </c>
      <c r="N9">
        <v>24</v>
      </c>
      <c r="O9">
        <f t="shared" si="0"/>
        <v>10</v>
      </c>
      <c r="P9">
        <f t="shared" si="1"/>
        <v>1.6363636363636365</v>
      </c>
    </row>
    <row r="10" spans="1:16">
      <c r="A10" t="s">
        <v>6</v>
      </c>
      <c r="B10">
        <v>9</v>
      </c>
      <c r="C10">
        <v>26</v>
      </c>
      <c r="D10">
        <v>18</v>
      </c>
      <c r="E10">
        <v>26</v>
      </c>
      <c r="F10">
        <v>34</v>
      </c>
      <c r="G10">
        <v>97</v>
      </c>
      <c r="H10">
        <v>18</v>
      </c>
      <c r="I10">
        <v>9</v>
      </c>
      <c r="J10">
        <v>102</v>
      </c>
      <c r="K10">
        <v>42</v>
      </c>
      <c r="L10">
        <v>260</v>
      </c>
      <c r="M10">
        <v>52</v>
      </c>
      <c r="N10">
        <v>26</v>
      </c>
      <c r="O10">
        <f t="shared" si="0"/>
        <v>10.777777777777779</v>
      </c>
      <c r="P10">
        <f t="shared" si="1"/>
        <v>1.6166666666666667</v>
      </c>
    </row>
    <row r="11" spans="1:16">
      <c r="A11" t="s">
        <v>6</v>
      </c>
      <c r="B11">
        <v>10</v>
      </c>
      <c r="C11">
        <v>28</v>
      </c>
      <c r="D11">
        <v>19</v>
      </c>
      <c r="E11">
        <v>28</v>
      </c>
      <c r="F11">
        <v>37</v>
      </c>
      <c r="G11">
        <v>105</v>
      </c>
      <c r="H11">
        <v>19</v>
      </c>
      <c r="I11">
        <v>9</v>
      </c>
      <c r="J11">
        <v>111</v>
      </c>
      <c r="K11">
        <v>46</v>
      </c>
      <c r="L11">
        <v>280</v>
      </c>
      <c r="M11">
        <v>56</v>
      </c>
      <c r="N11">
        <v>28</v>
      </c>
      <c r="O11">
        <f t="shared" si="0"/>
        <v>10.5</v>
      </c>
      <c r="P11">
        <f t="shared" si="1"/>
        <v>1.6153846153846154</v>
      </c>
    </row>
    <row r="12" spans="1:16">
      <c r="A12" t="s">
        <v>6</v>
      </c>
      <c r="B12">
        <v>11</v>
      </c>
      <c r="C12">
        <v>30</v>
      </c>
      <c r="D12">
        <v>20</v>
      </c>
      <c r="E12">
        <v>30</v>
      </c>
      <c r="F12">
        <v>40</v>
      </c>
      <c r="G12">
        <v>112</v>
      </c>
      <c r="H12">
        <v>20</v>
      </c>
      <c r="I12">
        <v>10</v>
      </c>
      <c r="J12">
        <v>120</v>
      </c>
      <c r="K12">
        <v>50</v>
      </c>
      <c r="L12">
        <v>300</v>
      </c>
      <c r="M12">
        <v>60</v>
      </c>
      <c r="N12">
        <v>30</v>
      </c>
      <c r="O12">
        <f t="shared" si="0"/>
        <v>11.2</v>
      </c>
      <c r="P12">
        <f t="shared" si="1"/>
        <v>1.6</v>
      </c>
    </row>
    <row r="13" spans="1:16">
      <c r="A13" t="s">
        <v>6</v>
      </c>
      <c r="B13">
        <v>12</v>
      </c>
      <c r="C13">
        <v>32</v>
      </c>
      <c r="D13">
        <v>21</v>
      </c>
      <c r="E13">
        <v>32</v>
      </c>
      <c r="F13">
        <v>43</v>
      </c>
      <c r="G13">
        <v>120</v>
      </c>
      <c r="H13">
        <v>21</v>
      </c>
      <c r="I13">
        <v>10</v>
      </c>
      <c r="J13">
        <v>129</v>
      </c>
      <c r="K13">
        <v>53</v>
      </c>
      <c r="L13">
        <v>320</v>
      </c>
      <c r="M13">
        <v>64</v>
      </c>
      <c r="N13">
        <v>32</v>
      </c>
      <c r="O13">
        <f t="shared" si="0"/>
        <v>10.909090909090908</v>
      </c>
      <c r="P13">
        <f t="shared" si="1"/>
        <v>1.5789473684210527</v>
      </c>
    </row>
    <row r="14" spans="1:16">
      <c r="A14" t="s">
        <v>6</v>
      </c>
      <c r="B14">
        <v>13</v>
      </c>
      <c r="C14">
        <v>34</v>
      </c>
      <c r="D14">
        <v>22</v>
      </c>
      <c r="E14">
        <v>34</v>
      </c>
      <c r="F14">
        <v>46</v>
      </c>
      <c r="G14">
        <v>127</v>
      </c>
      <c r="H14">
        <v>22</v>
      </c>
      <c r="I14">
        <v>11</v>
      </c>
      <c r="J14">
        <v>138</v>
      </c>
      <c r="K14">
        <v>57</v>
      </c>
      <c r="L14">
        <v>340</v>
      </c>
      <c r="M14">
        <v>68</v>
      </c>
      <c r="N14">
        <v>34</v>
      </c>
      <c r="O14">
        <f t="shared" si="0"/>
        <v>11.545454545454545</v>
      </c>
      <c r="P14">
        <f t="shared" si="1"/>
        <v>1.5679012345679013</v>
      </c>
    </row>
    <row r="15" spans="1:16">
      <c r="A15" t="s">
        <v>6</v>
      </c>
      <c r="B15">
        <v>14</v>
      </c>
      <c r="C15">
        <v>36</v>
      </c>
      <c r="D15">
        <v>23</v>
      </c>
      <c r="E15">
        <v>36</v>
      </c>
      <c r="F15">
        <v>49</v>
      </c>
      <c r="G15">
        <v>135</v>
      </c>
      <c r="H15">
        <v>23</v>
      </c>
      <c r="I15">
        <v>11</v>
      </c>
      <c r="J15">
        <v>147</v>
      </c>
      <c r="K15">
        <v>61</v>
      </c>
      <c r="L15">
        <v>360</v>
      </c>
      <c r="M15">
        <v>72</v>
      </c>
      <c r="N15">
        <v>36</v>
      </c>
      <c r="O15">
        <f t="shared" si="0"/>
        <v>11.25</v>
      </c>
      <c r="P15">
        <f t="shared" si="1"/>
        <v>1.569767441860465</v>
      </c>
    </row>
    <row r="16" spans="1:16">
      <c r="A16" t="s">
        <v>6</v>
      </c>
      <c r="B16">
        <v>15</v>
      </c>
      <c r="C16">
        <v>38</v>
      </c>
      <c r="D16">
        <v>24</v>
      </c>
      <c r="E16">
        <v>38</v>
      </c>
      <c r="F16">
        <v>52</v>
      </c>
      <c r="G16">
        <v>142</v>
      </c>
      <c r="H16">
        <v>24</v>
      </c>
      <c r="I16">
        <v>12</v>
      </c>
      <c r="J16">
        <v>156</v>
      </c>
      <c r="K16">
        <v>65</v>
      </c>
      <c r="L16">
        <v>380</v>
      </c>
      <c r="M16">
        <v>76</v>
      </c>
      <c r="N16">
        <v>38</v>
      </c>
      <c r="O16">
        <f t="shared" si="0"/>
        <v>11.833333333333334</v>
      </c>
      <c r="P16">
        <f t="shared" si="1"/>
        <v>1.5604395604395604</v>
      </c>
    </row>
    <row r="17" spans="1:16">
      <c r="A17" t="s">
        <v>6</v>
      </c>
      <c r="B17">
        <v>16</v>
      </c>
      <c r="C17">
        <v>40</v>
      </c>
      <c r="D17">
        <v>25</v>
      </c>
      <c r="E17">
        <v>40</v>
      </c>
      <c r="F17">
        <v>55</v>
      </c>
      <c r="G17">
        <v>150</v>
      </c>
      <c r="H17">
        <v>25</v>
      </c>
      <c r="I17">
        <v>12</v>
      </c>
      <c r="J17">
        <v>165</v>
      </c>
      <c r="K17">
        <v>68</v>
      </c>
      <c r="L17">
        <v>400</v>
      </c>
      <c r="M17">
        <v>80</v>
      </c>
      <c r="N17">
        <v>40</v>
      </c>
      <c r="O17">
        <f t="shared" si="0"/>
        <v>11.538461538461538</v>
      </c>
      <c r="P17">
        <f t="shared" si="1"/>
        <v>1.5463917525773196</v>
      </c>
    </row>
    <row r="18" spans="1:16">
      <c r="A18" t="s">
        <v>6</v>
      </c>
      <c r="B18">
        <v>17</v>
      </c>
      <c r="C18">
        <v>42</v>
      </c>
      <c r="D18">
        <v>26</v>
      </c>
      <c r="E18">
        <v>42</v>
      </c>
      <c r="F18">
        <v>58</v>
      </c>
      <c r="G18">
        <v>157</v>
      </c>
      <c r="H18">
        <v>26</v>
      </c>
      <c r="I18">
        <v>13</v>
      </c>
      <c r="J18">
        <v>174</v>
      </c>
      <c r="K18">
        <v>72</v>
      </c>
      <c r="L18">
        <v>420</v>
      </c>
      <c r="M18">
        <v>84</v>
      </c>
      <c r="N18">
        <v>42</v>
      </c>
      <c r="O18">
        <f t="shared" si="0"/>
        <v>12.076923076923077</v>
      </c>
      <c r="P18">
        <f t="shared" si="1"/>
        <v>1.5392156862745099</v>
      </c>
    </row>
    <row r="19" spans="1:16">
      <c r="A19" t="s">
        <v>6</v>
      </c>
      <c r="B19">
        <v>18</v>
      </c>
      <c r="C19">
        <v>44</v>
      </c>
      <c r="D19">
        <v>27</v>
      </c>
      <c r="E19">
        <v>44</v>
      </c>
      <c r="F19">
        <v>61</v>
      </c>
      <c r="G19">
        <v>165</v>
      </c>
      <c r="H19">
        <v>27</v>
      </c>
      <c r="I19">
        <v>13</v>
      </c>
      <c r="J19">
        <v>183</v>
      </c>
      <c r="K19">
        <v>76</v>
      </c>
      <c r="L19">
        <v>440</v>
      </c>
      <c r="M19">
        <v>88</v>
      </c>
      <c r="N19">
        <v>44</v>
      </c>
      <c r="O19">
        <f t="shared" si="0"/>
        <v>11.785714285714286</v>
      </c>
      <c r="P19">
        <f t="shared" si="1"/>
        <v>1.5420560747663552</v>
      </c>
    </row>
    <row r="20" spans="1:16">
      <c r="A20" t="s">
        <v>6</v>
      </c>
      <c r="B20">
        <v>19</v>
      </c>
      <c r="C20">
        <v>46</v>
      </c>
      <c r="D20">
        <v>28</v>
      </c>
      <c r="E20">
        <v>46</v>
      </c>
      <c r="F20">
        <v>64</v>
      </c>
      <c r="G20">
        <v>172</v>
      </c>
      <c r="H20">
        <v>28</v>
      </c>
      <c r="I20">
        <v>14</v>
      </c>
      <c r="J20">
        <v>192</v>
      </c>
      <c r="K20">
        <v>80</v>
      </c>
      <c r="L20">
        <v>460</v>
      </c>
      <c r="M20">
        <v>92</v>
      </c>
      <c r="N20">
        <v>46</v>
      </c>
      <c r="O20">
        <f t="shared" si="0"/>
        <v>12.285714285714286</v>
      </c>
      <c r="P20">
        <f t="shared" si="1"/>
        <v>1.5357142857142858</v>
      </c>
    </row>
    <row r="21" spans="1:16">
      <c r="A21" t="s">
        <v>6</v>
      </c>
      <c r="B21">
        <v>20</v>
      </c>
      <c r="C21">
        <v>48</v>
      </c>
      <c r="D21">
        <v>29</v>
      </c>
      <c r="E21">
        <v>48</v>
      </c>
      <c r="F21">
        <v>67</v>
      </c>
      <c r="G21">
        <v>180</v>
      </c>
      <c r="H21">
        <v>29</v>
      </c>
      <c r="I21">
        <v>14</v>
      </c>
      <c r="J21">
        <v>201</v>
      </c>
      <c r="K21">
        <v>83</v>
      </c>
      <c r="L21">
        <v>480</v>
      </c>
      <c r="M21">
        <v>96</v>
      </c>
      <c r="N21">
        <v>48</v>
      </c>
      <c r="O21">
        <f t="shared" si="0"/>
        <v>12</v>
      </c>
      <c r="P21">
        <f t="shared" si="1"/>
        <v>1.5254237288135593</v>
      </c>
    </row>
    <row r="22" spans="1:16">
      <c r="A22" t="s">
        <v>6</v>
      </c>
      <c r="B22">
        <v>21</v>
      </c>
      <c r="C22">
        <v>50</v>
      </c>
      <c r="D22">
        <v>30</v>
      </c>
      <c r="E22">
        <v>50</v>
      </c>
      <c r="F22">
        <v>70</v>
      </c>
      <c r="G22">
        <v>187</v>
      </c>
      <c r="H22">
        <v>30</v>
      </c>
      <c r="I22">
        <v>15</v>
      </c>
      <c r="J22">
        <v>210</v>
      </c>
      <c r="K22">
        <v>87</v>
      </c>
      <c r="L22">
        <v>500</v>
      </c>
      <c r="M22">
        <v>100</v>
      </c>
      <c r="N22">
        <v>50</v>
      </c>
      <c r="O22">
        <f t="shared" si="0"/>
        <v>12.466666666666667</v>
      </c>
      <c r="P22">
        <f t="shared" si="1"/>
        <v>1.5203252032520325</v>
      </c>
    </row>
    <row r="23" spans="1:16">
      <c r="A23" t="s">
        <v>6</v>
      </c>
      <c r="B23">
        <v>22</v>
      </c>
      <c r="C23">
        <v>52</v>
      </c>
      <c r="D23">
        <v>31</v>
      </c>
      <c r="E23">
        <v>52</v>
      </c>
      <c r="F23">
        <v>73</v>
      </c>
      <c r="G23">
        <v>195</v>
      </c>
      <c r="H23">
        <v>31</v>
      </c>
      <c r="I23">
        <v>15</v>
      </c>
      <c r="J23">
        <v>219</v>
      </c>
      <c r="K23">
        <v>91</v>
      </c>
      <c r="L23">
        <v>520</v>
      </c>
      <c r="M23">
        <v>104</v>
      </c>
      <c r="N23">
        <v>52</v>
      </c>
      <c r="O23">
        <f t="shared" si="0"/>
        <v>12.1875</v>
      </c>
      <c r="P23">
        <f t="shared" si="1"/>
        <v>1.5234375</v>
      </c>
    </row>
    <row r="24" spans="1:16">
      <c r="A24" t="s">
        <v>6</v>
      </c>
      <c r="B24">
        <v>23</v>
      </c>
      <c r="C24">
        <v>54</v>
      </c>
      <c r="D24">
        <v>32</v>
      </c>
      <c r="E24">
        <v>54</v>
      </c>
      <c r="F24">
        <v>76</v>
      </c>
      <c r="G24">
        <v>202</v>
      </c>
      <c r="H24">
        <v>32</v>
      </c>
      <c r="I24">
        <v>16</v>
      </c>
      <c r="J24">
        <v>228</v>
      </c>
      <c r="K24">
        <v>95</v>
      </c>
      <c r="L24">
        <v>540</v>
      </c>
      <c r="M24">
        <v>108</v>
      </c>
      <c r="N24">
        <v>54</v>
      </c>
      <c r="O24">
        <f t="shared" si="0"/>
        <v>12.625</v>
      </c>
      <c r="P24">
        <f t="shared" si="1"/>
        <v>1.518796992481203</v>
      </c>
    </row>
    <row r="25" spans="1:16">
      <c r="A25" t="s">
        <v>6</v>
      </c>
      <c r="B25">
        <v>24</v>
      </c>
      <c r="C25">
        <v>56</v>
      </c>
      <c r="D25">
        <v>33</v>
      </c>
      <c r="E25">
        <v>56</v>
      </c>
      <c r="F25">
        <v>79</v>
      </c>
      <c r="G25">
        <v>210</v>
      </c>
      <c r="H25">
        <v>33</v>
      </c>
      <c r="I25">
        <v>16</v>
      </c>
      <c r="J25">
        <v>237</v>
      </c>
      <c r="K25">
        <v>98</v>
      </c>
      <c r="L25">
        <v>560</v>
      </c>
      <c r="M25">
        <v>112</v>
      </c>
      <c r="N25">
        <v>56</v>
      </c>
      <c r="O25">
        <f t="shared" si="0"/>
        <v>12.352941176470589</v>
      </c>
      <c r="P25">
        <f t="shared" si="1"/>
        <v>1.5107913669064748</v>
      </c>
    </row>
    <row r="26" spans="1:16">
      <c r="A26" t="s">
        <v>6</v>
      </c>
      <c r="B26">
        <v>25</v>
      </c>
      <c r="C26">
        <v>58</v>
      </c>
      <c r="D26">
        <v>34</v>
      </c>
      <c r="E26">
        <v>58</v>
      </c>
      <c r="F26">
        <v>82</v>
      </c>
      <c r="G26">
        <v>217</v>
      </c>
      <c r="H26">
        <v>34</v>
      </c>
      <c r="I26">
        <v>17</v>
      </c>
      <c r="J26">
        <v>246</v>
      </c>
      <c r="K26">
        <v>102</v>
      </c>
      <c r="L26">
        <v>580</v>
      </c>
      <c r="M26">
        <v>116</v>
      </c>
      <c r="N26">
        <v>58</v>
      </c>
      <c r="O26">
        <f t="shared" si="0"/>
        <v>12.764705882352942</v>
      </c>
      <c r="P26">
        <f t="shared" si="1"/>
        <v>1.5069444444444444</v>
      </c>
    </row>
    <row r="27" spans="1:16">
      <c r="A27" t="s">
        <v>6</v>
      </c>
      <c r="B27">
        <v>26</v>
      </c>
      <c r="C27">
        <v>60</v>
      </c>
      <c r="D27">
        <v>35</v>
      </c>
      <c r="E27">
        <v>60</v>
      </c>
      <c r="F27">
        <v>85</v>
      </c>
      <c r="G27">
        <v>225</v>
      </c>
      <c r="H27">
        <v>35</v>
      </c>
      <c r="I27">
        <v>17</v>
      </c>
      <c r="J27">
        <v>255</v>
      </c>
      <c r="K27">
        <v>106</v>
      </c>
      <c r="L27">
        <v>600</v>
      </c>
      <c r="M27">
        <v>120</v>
      </c>
      <c r="N27">
        <v>60</v>
      </c>
      <c r="O27">
        <f t="shared" si="0"/>
        <v>12.5</v>
      </c>
      <c r="P27">
        <f t="shared" si="1"/>
        <v>1.5100671140939597</v>
      </c>
    </row>
    <row r="28" spans="1:16">
      <c r="A28" t="s">
        <v>6</v>
      </c>
      <c r="B28">
        <v>27</v>
      </c>
      <c r="C28">
        <v>62</v>
      </c>
      <c r="D28">
        <v>36</v>
      </c>
      <c r="E28">
        <v>62</v>
      </c>
      <c r="F28">
        <v>88</v>
      </c>
      <c r="G28">
        <v>232</v>
      </c>
      <c r="H28">
        <v>36</v>
      </c>
      <c r="I28">
        <v>18</v>
      </c>
      <c r="J28">
        <v>264</v>
      </c>
      <c r="K28">
        <v>110</v>
      </c>
      <c r="L28">
        <v>620</v>
      </c>
      <c r="M28">
        <v>124</v>
      </c>
      <c r="N28">
        <v>62</v>
      </c>
      <c r="O28">
        <f t="shared" si="0"/>
        <v>12.888888888888889</v>
      </c>
      <c r="P28">
        <f t="shared" si="1"/>
        <v>1.5064935064935066</v>
      </c>
    </row>
    <row r="29" spans="1:16">
      <c r="A29" t="s">
        <v>6</v>
      </c>
      <c r="B29">
        <v>28</v>
      </c>
      <c r="C29">
        <v>64</v>
      </c>
      <c r="D29">
        <v>37</v>
      </c>
      <c r="E29">
        <v>64</v>
      </c>
      <c r="F29">
        <v>91</v>
      </c>
      <c r="G29">
        <v>240</v>
      </c>
      <c r="H29">
        <v>37</v>
      </c>
      <c r="I29">
        <v>18</v>
      </c>
      <c r="J29">
        <v>273</v>
      </c>
      <c r="K29">
        <v>113</v>
      </c>
      <c r="L29">
        <v>640</v>
      </c>
      <c r="M29">
        <v>128</v>
      </c>
      <c r="N29">
        <v>64</v>
      </c>
      <c r="O29">
        <f t="shared" si="0"/>
        <v>12.631578947368421</v>
      </c>
      <c r="P29">
        <f t="shared" si="1"/>
        <v>1.5</v>
      </c>
    </row>
    <row r="30" spans="1:16">
      <c r="A30" t="s">
        <v>6</v>
      </c>
      <c r="B30">
        <v>29</v>
      </c>
      <c r="C30">
        <v>66</v>
      </c>
      <c r="D30">
        <v>38</v>
      </c>
      <c r="E30">
        <v>66</v>
      </c>
      <c r="F30">
        <v>94</v>
      </c>
      <c r="G30">
        <v>247</v>
      </c>
      <c r="H30">
        <v>38</v>
      </c>
      <c r="I30">
        <v>19</v>
      </c>
      <c r="J30">
        <v>282</v>
      </c>
      <c r="K30">
        <v>117</v>
      </c>
      <c r="L30">
        <v>660</v>
      </c>
      <c r="M30">
        <v>132</v>
      </c>
      <c r="N30">
        <v>66</v>
      </c>
      <c r="O30">
        <f t="shared" si="0"/>
        <v>13</v>
      </c>
      <c r="P30">
        <f t="shared" si="1"/>
        <v>1.4969696969696971</v>
      </c>
    </row>
    <row r="31" spans="1:16">
      <c r="A31" t="s">
        <v>6</v>
      </c>
      <c r="B31">
        <v>30</v>
      </c>
      <c r="C31">
        <v>68</v>
      </c>
      <c r="D31">
        <v>39</v>
      </c>
      <c r="E31">
        <v>68</v>
      </c>
      <c r="F31">
        <v>97</v>
      </c>
      <c r="G31">
        <v>255</v>
      </c>
      <c r="H31">
        <v>39</v>
      </c>
      <c r="I31">
        <v>19</v>
      </c>
      <c r="J31">
        <v>291</v>
      </c>
      <c r="K31">
        <v>121</v>
      </c>
      <c r="L31">
        <v>680</v>
      </c>
      <c r="M31">
        <v>136</v>
      </c>
      <c r="N31">
        <v>68</v>
      </c>
      <c r="O31">
        <f t="shared" si="0"/>
        <v>12.75</v>
      </c>
      <c r="P31">
        <f t="shared" si="1"/>
        <v>1.5</v>
      </c>
    </row>
    <row r="32" spans="1:16">
      <c r="A32" t="s">
        <v>6</v>
      </c>
      <c r="B32">
        <v>31</v>
      </c>
      <c r="C32">
        <v>70</v>
      </c>
      <c r="D32">
        <v>40</v>
      </c>
      <c r="E32">
        <v>70</v>
      </c>
      <c r="F32">
        <v>100</v>
      </c>
      <c r="G32">
        <v>262</v>
      </c>
      <c r="H32">
        <v>40</v>
      </c>
      <c r="I32">
        <v>20</v>
      </c>
      <c r="J32">
        <v>300</v>
      </c>
      <c r="K32">
        <v>125</v>
      </c>
      <c r="L32">
        <v>700</v>
      </c>
      <c r="M32">
        <v>140</v>
      </c>
      <c r="N32">
        <v>70</v>
      </c>
      <c r="O32">
        <f t="shared" si="0"/>
        <v>13.1</v>
      </c>
      <c r="P32">
        <f t="shared" si="1"/>
        <v>1.4971428571428571</v>
      </c>
    </row>
    <row r="33" spans="1:16">
      <c r="A33" t="s">
        <v>6</v>
      </c>
      <c r="B33">
        <v>32</v>
      </c>
      <c r="C33">
        <v>72</v>
      </c>
      <c r="D33">
        <v>41</v>
      </c>
      <c r="E33">
        <v>72</v>
      </c>
      <c r="F33">
        <v>103</v>
      </c>
      <c r="G33">
        <v>270</v>
      </c>
      <c r="H33">
        <v>41</v>
      </c>
      <c r="I33">
        <v>20</v>
      </c>
      <c r="J33">
        <v>309</v>
      </c>
      <c r="K33">
        <v>128</v>
      </c>
      <c r="L33">
        <v>720</v>
      </c>
      <c r="M33">
        <v>144</v>
      </c>
      <c r="N33">
        <v>72</v>
      </c>
      <c r="O33">
        <f t="shared" si="0"/>
        <v>12.857142857142858</v>
      </c>
      <c r="P33">
        <f t="shared" si="1"/>
        <v>1.4917127071823204</v>
      </c>
    </row>
    <row r="34" spans="1:16">
      <c r="A34" t="s">
        <v>6</v>
      </c>
      <c r="B34">
        <v>33</v>
      </c>
      <c r="C34">
        <v>74</v>
      </c>
      <c r="D34">
        <v>42</v>
      </c>
      <c r="E34">
        <v>74</v>
      </c>
      <c r="F34">
        <v>106</v>
      </c>
      <c r="G34">
        <v>277</v>
      </c>
      <c r="H34">
        <v>42</v>
      </c>
      <c r="I34">
        <v>21</v>
      </c>
      <c r="J34">
        <v>318</v>
      </c>
      <c r="K34">
        <v>132</v>
      </c>
      <c r="L34">
        <v>740</v>
      </c>
      <c r="M34">
        <v>148</v>
      </c>
      <c r="N34">
        <v>74</v>
      </c>
      <c r="O34">
        <f t="shared" si="0"/>
        <v>13.19047619047619</v>
      </c>
      <c r="P34">
        <f t="shared" si="1"/>
        <v>1.489247311827957</v>
      </c>
    </row>
    <row r="35" spans="1:16">
      <c r="A35" t="s">
        <v>6</v>
      </c>
      <c r="B35">
        <v>34</v>
      </c>
      <c r="C35">
        <v>76</v>
      </c>
      <c r="D35">
        <v>43</v>
      </c>
      <c r="E35">
        <v>76</v>
      </c>
      <c r="F35">
        <v>109</v>
      </c>
      <c r="G35">
        <v>285</v>
      </c>
      <c r="H35">
        <v>43</v>
      </c>
      <c r="I35">
        <v>21</v>
      </c>
      <c r="J35">
        <v>327</v>
      </c>
      <c r="K35">
        <v>136</v>
      </c>
      <c r="L35">
        <v>760</v>
      </c>
      <c r="M35">
        <v>152</v>
      </c>
      <c r="N35">
        <v>76</v>
      </c>
      <c r="O35">
        <f t="shared" si="0"/>
        <v>12.954545454545455</v>
      </c>
      <c r="P35">
        <f t="shared" si="1"/>
        <v>1.4921465968586387</v>
      </c>
    </row>
    <row r="36" spans="1:16">
      <c r="A36" t="s">
        <v>6</v>
      </c>
      <c r="B36">
        <v>35</v>
      </c>
      <c r="C36">
        <v>78</v>
      </c>
      <c r="D36">
        <v>44</v>
      </c>
      <c r="E36">
        <v>78</v>
      </c>
      <c r="F36">
        <v>112</v>
      </c>
      <c r="G36">
        <v>292</v>
      </c>
      <c r="H36">
        <v>44</v>
      </c>
      <c r="I36">
        <v>22</v>
      </c>
      <c r="J36">
        <v>336</v>
      </c>
      <c r="K36">
        <v>140</v>
      </c>
      <c r="L36">
        <v>780</v>
      </c>
      <c r="M36">
        <v>156</v>
      </c>
      <c r="N36">
        <v>78</v>
      </c>
      <c r="O36">
        <f t="shared" si="0"/>
        <v>13.272727272727273</v>
      </c>
      <c r="P36">
        <f t="shared" si="1"/>
        <v>1.489795918367347</v>
      </c>
    </row>
    <row r="37" spans="1:16">
      <c r="A37" t="s">
        <v>6</v>
      </c>
      <c r="B37">
        <v>36</v>
      </c>
      <c r="C37">
        <v>80</v>
      </c>
      <c r="D37">
        <v>45</v>
      </c>
      <c r="E37">
        <v>80</v>
      </c>
      <c r="F37">
        <v>115</v>
      </c>
      <c r="G37">
        <v>300</v>
      </c>
      <c r="H37">
        <v>45</v>
      </c>
      <c r="I37">
        <v>22</v>
      </c>
      <c r="J37">
        <v>345</v>
      </c>
      <c r="K37">
        <v>143</v>
      </c>
      <c r="L37">
        <v>800</v>
      </c>
      <c r="M37">
        <v>160</v>
      </c>
      <c r="N37">
        <v>80</v>
      </c>
      <c r="O37">
        <f t="shared" si="0"/>
        <v>13.043478260869565</v>
      </c>
      <c r="P37">
        <f t="shared" si="1"/>
        <v>1.4851485148514851</v>
      </c>
    </row>
    <row r="38" spans="1:16">
      <c r="A38" t="s">
        <v>6</v>
      </c>
      <c r="B38">
        <v>37</v>
      </c>
      <c r="C38">
        <v>82</v>
      </c>
      <c r="D38">
        <v>46</v>
      </c>
      <c r="E38">
        <v>82</v>
      </c>
      <c r="F38">
        <v>118</v>
      </c>
      <c r="G38">
        <v>307</v>
      </c>
      <c r="H38">
        <v>46</v>
      </c>
      <c r="I38">
        <v>23</v>
      </c>
      <c r="J38">
        <v>354</v>
      </c>
      <c r="K38">
        <v>147</v>
      </c>
      <c r="L38">
        <v>820</v>
      </c>
      <c r="M38">
        <v>164</v>
      </c>
      <c r="N38">
        <v>82</v>
      </c>
      <c r="O38">
        <f t="shared" si="0"/>
        <v>13.347826086956522</v>
      </c>
      <c r="P38">
        <f t="shared" si="1"/>
        <v>1.4830917874396135</v>
      </c>
    </row>
    <row r="39" spans="1:16">
      <c r="A39" t="s">
        <v>6</v>
      </c>
      <c r="B39">
        <v>38</v>
      </c>
      <c r="C39">
        <v>84</v>
      </c>
      <c r="D39">
        <v>47</v>
      </c>
      <c r="E39">
        <v>84</v>
      </c>
      <c r="F39">
        <v>121</v>
      </c>
      <c r="G39">
        <v>315</v>
      </c>
      <c r="H39">
        <v>47</v>
      </c>
      <c r="I39">
        <v>23</v>
      </c>
      <c r="J39">
        <v>363</v>
      </c>
      <c r="K39">
        <v>151</v>
      </c>
      <c r="L39">
        <v>840</v>
      </c>
      <c r="M39">
        <v>168</v>
      </c>
      <c r="N39">
        <v>84</v>
      </c>
      <c r="O39">
        <f t="shared" si="0"/>
        <v>13.125</v>
      </c>
      <c r="P39">
        <f t="shared" si="1"/>
        <v>1.4858490566037736</v>
      </c>
    </row>
    <row r="40" spans="1:16">
      <c r="A40" t="s">
        <v>6</v>
      </c>
      <c r="B40">
        <v>39</v>
      </c>
      <c r="C40">
        <v>86</v>
      </c>
      <c r="D40">
        <v>48</v>
      </c>
      <c r="E40">
        <v>86</v>
      </c>
      <c r="F40">
        <v>124</v>
      </c>
      <c r="G40">
        <v>322</v>
      </c>
      <c r="H40">
        <v>48</v>
      </c>
      <c r="I40">
        <v>24</v>
      </c>
      <c r="J40">
        <v>372</v>
      </c>
      <c r="K40">
        <v>155</v>
      </c>
      <c r="L40">
        <v>860</v>
      </c>
      <c r="M40">
        <v>172</v>
      </c>
      <c r="N40">
        <v>86</v>
      </c>
      <c r="O40">
        <f t="shared" si="0"/>
        <v>13.416666666666666</v>
      </c>
      <c r="P40">
        <f t="shared" si="1"/>
        <v>1.4838709677419355</v>
      </c>
    </row>
    <row r="41" spans="1:16">
      <c r="A41" t="s">
        <v>6</v>
      </c>
      <c r="B41">
        <v>40</v>
      </c>
      <c r="C41">
        <v>88</v>
      </c>
      <c r="D41">
        <v>49</v>
      </c>
      <c r="E41">
        <v>88</v>
      </c>
      <c r="F41">
        <v>127</v>
      </c>
      <c r="G41">
        <v>330</v>
      </c>
      <c r="H41">
        <v>49</v>
      </c>
      <c r="I41">
        <v>24</v>
      </c>
      <c r="J41">
        <v>381</v>
      </c>
      <c r="K41">
        <v>158</v>
      </c>
      <c r="L41">
        <v>880</v>
      </c>
      <c r="M41">
        <v>176</v>
      </c>
      <c r="N41">
        <v>88</v>
      </c>
      <c r="O41">
        <f t="shared" si="0"/>
        <v>13.2</v>
      </c>
      <c r="P41">
        <f t="shared" si="1"/>
        <v>1.4798206278026906</v>
      </c>
    </row>
    <row r="42" spans="1:16">
      <c r="A42" t="s">
        <v>6</v>
      </c>
      <c r="B42">
        <v>41</v>
      </c>
      <c r="C42">
        <v>90</v>
      </c>
      <c r="D42">
        <v>50</v>
      </c>
      <c r="E42">
        <v>90</v>
      </c>
      <c r="F42">
        <v>130</v>
      </c>
      <c r="G42">
        <v>337</v>
      </c>
      <c r="H42">
        <v>50</v>
      </c>
      <c r="I42">
        <v>25</v>
      </c>
      <c r="J42">
        <v>390</v>
      </c>
      <c r="K42">
        <v>162</v>
      </c>
      <c r="L42">
        <v>900</v>
      </c>
      <c r="M42">
        <v>180</v>
      </c>
      <c r="N42">
        <v>90</v>
      </c>
      <c r="O42">
        <f t="shared" si="0"/>
        <v>13.48</v>
      </c>
      <c r="P42">
        <f t="shared" si="1"/>
        <v>1.4780701754385965</v>
      </c>
    </row>
    <row r="43" spans="1:16">
      <c r="A43" t="s">
        <v>6</v>
      </c>
      <c r="B43">
        <v>42</v>
      </c>
      <c r="C43">
        <v>92</v>
      </c>
      <c r="D43">
        <v>51</v>
      </c>
      <c r="E43">
        <v>92</v>
      </c>
      <c r="F43">
        <v>133</v>
      </c>
      <c r="G43">
        <v>345</v>
      </c>
      <c r="H43">
        <v>51</v>
      </c>
      <c r="I43">
        <v>25</v>
      </c>
      <c r="J43">
        <v>399</v>
      </c>
      <c r="K43">
        <v>166</v>
      </c>
      <c r="L43">
        <v>920</v>
      </c>
      <c r="M43">
        <v>184</v>
      </c>
      <c r="N43">
        <v>92</v>
      </c>
      <c r="O43">
        <f t="shared" si="0"/>
        <v>13.26923076923077</v>
      </c>
      <c r="P43">
        <f t="shared" si="1"/>
        <v>1.4806866952789699</v>
      </c>
    </row>
    <row r="44" spans="1:16">
      <c r="A44" t="s">
        <v>6</v>
      </c>
      <c r="B44">
        <v>43</v>
      </c>
      <c r="C44">
        <v>94</v>
      </c>
      <c r="D44">
        <v>52</v>
      </c>
      <c r="E44">
        <v>94</v>
      </c>
      <c r="F44">
        <v>136</v>
      </c>
      <c r="G44">
        <v>352</v>
      </c>
      <c r="H44">
        <v>52</v>
      </c>
      <c r="I44">
        <v>26</v>
      </c>
      <c r="J44">
        <v>408</v>
      </c>
      <c r="K44">
        <v>170</v>
      </c>
      <c r="L44">
        <v>940</v>
      </c>
      <c r="M44">
        <v>188</v>
      </c>
      <c r="N44">
        <v>94</v>
      </c>
      <c r="O44">
        <f t="shared" si="0"/>
        <v>13.538461538461538</v>
      </c>
      <c r="P44">
        <f t="shared" si="1"/>
        <v>1.4789915966386555</v>
      </c>
    </row>
    <row r="45" spans="1:16">
      <c r="A45" t="s">
        <v>6</v>
      </c>
      <c r="B45">
        <v>44</v>
      </c>
      <c r="C45">
        <v>96</v>
      </c>
      <c r="D45">
        <v>53</v>
      </c>
      <c r="E45">
        <v>96</v>
      </c>
      <c r="F45">
        <v>139</v>
      </c>
      <c r="G45">
        <v>360</v>
      </c>
      <c r="H45">
        <v>53</v>
      </c>
      <c r="I45">
        <v>26</v>
      </c>
      <c r="J45">
        <v>417</v>
      </c>
      <c r="K45">
        <v>173</v>
      </c>
      <c r="L45">
        <v>960</v>
      </c>
      <c r="M45">
        <v>192</v>
      </c>
      <c r="N45">
        <v>96</v>
      </c>
      <c r="O45">
        <f t="shared" si="0"/>
        <v>13.333333333333334</v>
      </c>
      <c r="P45">
        <f t="shared" si="1"/>
        <v>1.4754098360655739</v>
      </c>
    </row>
    <row r="46" spans="1:16">
      <c r="A46" t="s">
        <v>6</v>
      </c>
      <c r="B46">
        <v>45</v>
      </c>
      <c r="C46">
        <v>98</v>
      </c>
      <c r="D46">
        <v>54</v>
      </c>
      <c r="E46">
        <v>98</v>
      </c>
      <c r="F46">
        <v>142</v>
      </c>
      <c r="G46">
        <v>367</v>
      </c>
      <c r="H46">
        <v>54</v>
      </c>
      <c r="I46">
        <v>27</v>
      </c>
      <c r="J46">
        <v>426</v>
      </c>
      <c r="K46">
        <v>177</v>
      </c>
      <c r="L46">
        <v>980</v>
      </c>
      <c r="M46">
        <v>196</v>
      </c>
      <c r="N46">
        <v>98</v>
      </c>
      <c r="O46">
        <f t="shared" si="0"/>
        <v>13.592592592592593</v>
      </c>
      <c r="P46">
        <f t="shared" si="1"/>
        <v>1.4738955823293172</v>
      </c>
    </row>
    <row r="47" spans="1:16">
      <c r="A47" t="s">
        <v>6</v>
      </c>
      <c r="B47">
        <v>46</v>
      </c>
      <c r="C47">
        <v>100</v>
      </c>
      <c r="D47">
        <v>55</v>
      </c>
      <c r="E47">
        <v>100</v>
      </c>
      <c r="F47">
        <v>145</v>
      </c>
      <c r="G47">
        <v>375</v>
      </c>
      <c r="H47">
        <v>55</v>
      </c>
      <c r="I47">
        <v>27</v>
      </c>
      <c r="J47">
        <v>435</v>
      </c>
      <c r="K47">
        <v>181</v>
      </c>
      <c r="L47">
        <v>1000</v>
      </c>
      <c r="M47">
        <v>200</v>
      </c>
      <c r="N47">
        <v>100</v>
      </c>
      <c r="O47">
        <f t="shared" si="0"/>
        <v>13.392857142857142</v>
      </c>
      <c r="P47">
        <f t="shared" si="1"/>
        <v>1.4763779527559056</v>
      </c>
    </row>
    <row r="48" spans="1:16">
      <c r="A48" t="s">
        <v>6</v>
      </c>
      <c r="B48">
        <v>47</v>
      </c>
      <c r="C48">
        <v>102</v>
      </c>
      <c r="D48">
        <v>56</v>
      </c>
      <c r="E48">
        <v>102</v>
      </c>
      <c r="F48">
        <v>148</v>
      </c>
      <c r="G48">
        <v>382</v>
      </c>
      <c r="H48">
        <v>56</v>
      </c>
      <c r="I48">
        <v>28</v>
      </c>
      <c r="J48">
        <v>444</v>
      </c>
      <c r="K48">
        <v>185</v>
      </c>
      <c r="L48">
        <v>1020</v>
      </c>
      <c r="M48">
        <v>204</v>
      </c>
      <c r="N48">
        <v>102</v>
      </c>
      <c r="O48">
        <f t="shared" si="0"/>
        <v>13.642857142857142</v>
      </c>
      <c r="P48">
        <f t="shared" si="1"/>
        <v>1.4749034749034748</v>
      </c>
    </row>
    <row r="49" spans="1:16">
      <c r="A49" t="s">
        <v>6</v>
      </c>
      <c r="B49">
        <v>48</v>
      </c>
      <c r="C49">
        <v>104</v>
      </c>
      <c r="D49">
        <v>57</v>
      </c>
      <c r="E49">
        <v>104</v>
      </c>
      <c r="F49">
        <v>151</v>
      </c>
      <c r="G49">
        <v>390</v>
      </c>
      <c r="H49">
        <v>57</v>
      </c>
      <c r="I49">
        <v>28</v>
      </c>
      <c r="J49">
        <v>453</v>
      </c>
      <c r="K49">
        <v>188</v>
      </c>
      <c r="L49">
        <v>1040</v>
      </c>
      <c r="M49">
        <v>208</v>
      </c>
      <c r="N49">
        <v>104</v>
      </c>
      <c r="O49">
        <f t="shared" si="0"/>
        <v>13.448275862068966</v>
      </c>
      <c r="P49">
        <f t="shared" si="1"/>
        <v>1.4716981132075471</v>
      </c>
    </row>
    <row r="50" spans="1:16">
      <c r="A50" t="s">
        <v>6</v>
      </c>
      <c r="B50">
        <v>49</v>
      </c>
      <c r="C50">
        <v>106</v>
      </c>
      <c r="D50">
        <v>58</v>
      </c>
      <c r="E50">
        <v>106</v>
      </c>
      <c r="F50">
        <v>154</v>
      </c>
      <c r="G50">
        <v>397</v>
      </c>
      <c r="H50">
        <v>58</v>
      </c>
      <c r="I50">
        <v>29</v>
      </c>
      <c r="J50">
        <v>462</v>
      </c>
      <c r="K50">
        <v>192</v>
      </c>
      <c r="L50">
        <v>1060</v>
      </c>
      <c r="M50">
        <v>212</v>
      </c>
      <c r="N50">
        <v>106</v>
      </c>
      <c r="O50">
        <f t="shared" si="0"/>
        <v>13.689655172413794</v>
      </c>
      <c r="P50">
        <f t="shared" si="1"/>
        <v>1.4703703703703703</v>
      </c>
    </row>
    <row r="51" spans="1:16">
      <c r="A51" t="s">
        <v>6</v>
      </c>
      <c r="B51">
        <v>50</v>
      </c>
      <c r="C51">
        <v>108</v>
      </c>
      <c r="D51">
        <v>59</v>
      </c>
      <c r="E51">
        <v>108</v>
      </c>
      <c r="F51">
        <v>157</v>
      </c>
      <c r="G51">
        <v>405</v>
      </c>
      <c r="H51">
        <v>59</v>
      </c>
      <c r="I51">
        <v>29</v>
      </c>
      <c r="J51">
        <v>471</v>
      </c>
      <c r="K51">
        <v>196</v>
      </c>
      <c r="L51">
        <v>1080</v>
      </c>
      <c r="M51">
        <v>216</v>
      </c>
      <c r="N51">
        <v>108</v>
      </c>
      <c r="O51">
        <f t="shared" si="0"/>
        <v>13.5</v>
      </c>
      <c r="P51">
        <f t="shared" si="1"/>
        <v>1.4727272727272727</v>
      </c>
    </row>
    <row r="52" spans="1:16">
      <c r="A52" t="s">
        <v>6</v>
      </c>
      <c r="B52">
        <v>51</v>
      </c>
      <c r="C52">
        <v>110</v>
      </c>
      <c r="D52">
        <v>60</v>
      </c>
      <c r="E52">
        <v>110</v>
      </c>
      <c r="F52">
        <v>160</v>
      </c>
      <c r="G52">
        <v>412</v>
      </c>
      <c r="H52">
        <v>60</v>
      </c>
      <c r="I52">
        <v>30</v>
      </c>
      <c r="J52">
        <v>480</v>
      </c>
      <c r="K52">
        <v>200</v>
      </c>
      <c r="L52">
        <v>1100</v>
      </c>
      <c r="M52">
        <v>220</v>
      </c>
      <c r="N52">
        <v>110</v>
      </c>
      <c r="O52">
        <f t="shared" si="0"/>
        <v>13.733333333333333</v>
      </c>
      <c r="P52">
        <f t="shared" si="1"/>
        <v>1.4714285714285715</v>
      </c>
    </row>
    <row r="53" spans="1:16">
      <c r="A53" t="s">
        <v>6</v>
      </c>
      <c r="B53">
        <v>52</v>
      </c>
      <c r="C53">
        <v>112</v>
      </c>
      <c r="D53">
        <v>61</v>
      </c>
      <c r="E53">
        <v>112</v>
      </c>
      <c r="F53">
        <v>163</v>
      </c>
      <c r="G53">
        <v>420</v>
      </c>
      <c r="H53">
        <v>61</v>
      </c>
      <c r="I53">
        <v>30</v>
      </c>
      <c r="J53">
        <v>489</v>
      </c>
      <c r="K53">
        <v>203</v>
      </c>
      <c r="L53">
        <v>1120</v>
      </c>
      <c r="M53">
        <v>224</v>
      </c>
      <c r="N53">
        <v>112</v>
      </c>
      <c r="O53">
        <f t="shared" si="0"/>
        <v>13.548387096774194</v>
      </c>
      <c r="P53">
        <f t="shared" si="1"/>
        <v>1.4685314685314685</v>
      </c>
    </row>
    <row r="54" spans="1:16">
      <c r="A54" t="s">
        <v>6</v>
      </c>
      <c r="B54">
        <v>53</v>
      </c>
      <c r="C54">
        <v>114</v>
      </c>
      <c r="D54">
        <v>62</v>
      </c>
      <c r="E54">
        <v>114</v>
      </c>
      <c r="F54">
        <v>166</v>
      </c>
      <c r="G54">
        <v>427</v>
      </c>
      <c r="H54">
        <v>62</v>
      </c>
      <c r="I54">
        <v>31</v>
      </c>
      <c r="J54">
        <v>498</v>
      </c>
      <c r="K54">
        <v>207</v>
      </c>
      <c r="L54">
        <v>1140</v>
      </c>
      <c r="M54">
        <v>228</v>
      </c>
      <c r="N54">
        <v>114</v>
      </c>
      <c r="O54">
        <f t="shared" si="0"/>
        <v>13.774193548387096</v>
      </c>
      <c r="P54">
        <f t="shared" si="1"/>
        <v>1.4673539518900343</v>
      </c>
    </row>
    <row r="55" spans="1:16">
      <c r="A55" t="s">
        <v>6</v>
      </c>
      <c r="B55">
        <v>54</v>
      </c>
      <c r="C55">
        <v>116</v>
      </c>
      <c r="D55">
        <v>63</v>
      </c>
      <c r="E55">
        <v>116</v>
      </c>
      <c r="F55">
        <v>169</v>
      </c>
      <c r="G55">
        <v>435</v>
      </c>
      <c r="H55">
        <v>63</v>
      </c>
      <c r="I55">
        <v>31</v>
      </c>
      <c r="J55">
        <v>507</v>
      </c>
      <c r="K55">
        <v>211</v>
      </c>
      <c r="L55">
        <v>1160</v>
      </c>
      <c r="M55">
        <v>232</v>
      </c>
      <c r="N55">
        <v>116</v>
      </c>
      <c r="O55">
        <f t="shared" si="0"/>
        <v>13.59375</v>
      </c>
      <c r="P55">
        <f t="shared" si="1"/>
        <v>1.4695945945945945</v>
      </c>
    </row>
    <row r="56" spans="1:16">
      <c r="A56" t="s">
        <v>6</v>
      </c>
      <c r="B56">
        <v>55</v>
      </c>
      <c r="C56">
        <v>118</v>
      </c>
      <c r="D56">
        <v>64</v>
      </c>
      <c r="E56">
        <v>118</v>
      </c>
      <c r="F56">
        <v>172</v>
      </c>
      <c r="G56">
        <v>442</v>
      </c>
      <c r="H56">
        <v>64</v>
      </c>
      <c r="I56">
        <v>32</v>
      </c>
      <c r="J56">
        <v>516</v>
      </c>
      <c r="K56">
        <v>215</v>
      </c>
      <c r="L56">
        <v>1180</v>
      </c>
      <c r="M56">
        <v>236</v>
      </c>
      <c r="N56">
        <v>118</v>
      </c>
      <c r="O56">
        <f t="shared" si="0"/>
        <v>13.8125</v>
      </c>
      <c r="P56">
        <f t="shared" si="1"/>
        <v>1.4684385382059801</v>
      </c>
    </row>
    <row r="57" spans="1:16">
      <c r="A57" t="s">
        <v>6</v>
      </c>
      <c r="B57">
        <v>56</v>
      </c>
      <c r="C57">
        <v>120</v>
      </c>
      <c r="D57">
        <v>65</v>
      </c>
      <c r="E57">
        <v>120</v>
      </c>
      <c r="F57">
        <v>175</v>
      </c>
      <c r="G57">
        <v>450</v>
      </c>
      <c r="H57">
        <v>65</v>
      </c>
      <c r="I57">
        <v>32</v>
      </c>
      <c r="J57">
        <v>525</v>
      </c>
      <c r="K57">
        <v>218</v>
      </c>
      <c r="L57">
        <v>1200</v>
      </c>
      <c r="M57">
        <v>240</v>
      </c>
      <c r="N57">
        <v>120</v>
      </c>
      <c r="O57">
        <f t="shared" si="0"/>
        <v>13.636363636363637</v>
      </c>
      <c r="P57">
        <f t="shared" si="1"/>
        <v>1.4657980456026058</v>
      </c>
    </row>
    <row r="58" spans="1:16">
      <c r="A58" t="s">
        <v>6</v>
      </c>
      <c r="B58">
        <v>57</v>
      </c>
      <c r="C58">
        <v>122</v>
      </c>
      <c r="D58">
        <v>66</v>
      </c>
      <c r="E58">
        <v>122</v>
      </c>
      <c r="F58">
        <v>178</v>
      </c>
      <c r="G58">
        <v>457</v>
      </c>
      <c r="H58">
        <v>66</v>
      </c>
      <c r="I58">
        <v>33</v>
      </c>
      <c r="J58">
        <v>534</v>
      </c>
      <c r="K58">
        <v>222</v>
      </c>
      <c r="L58">
        <v>1220</v>
      </c>
      <c r="M58">
        <v>244</v>
      </c>
      <c r="N58">
        <v>122</v>
      </c>
      <c r="O58">
        <f t="shared" si="0"/>
        <v>13.848484848484848</v>
      </c>
      <c r="P58">
        <f t="shared" si="1"/>
        <v>1.4647435897435896</v>
      </c>
    </row>
    <row r="59" spans="1:16">
      <c r="A59" t="s">
        <v>6</v>
      </c>
      <c r="B59">
        <v>58</v>
      </c>
      <c r="C59">
        <v>124</v>
      </c>
      <c r="D59">
        <v>67</v>
      </c>
      <c r="E59">
        <v>124</v>
      </c>
      <c r="F59">
        <v>181</v>
      </c>
      <c r="G59">
        <v>465</v>
      </c>
      <c r="H59">
        <v>67</v>
      </c>
      <c r="I59">
        <v>33</v>
      </c>
      <c r="J59">
        <v>543</v>
      </c>
      <c r="K59">
        <v>226</v>
      </c>
      <c r="L59">
        <v>1240</v>
      </c>
      <c r="M59">
        <v>248</v>
      </c>
      <c r="N59">
        <v>124</v>
      </c>
      <c r="O59">
        <f t="shared" si="0"/>
        <v>13.676470588235293</v>
      </c>
      <c r="P59">
        <f t="shared" si="1"/>
        <v>1.4668769716088328</v>
      </c>
    </row>
    <row r="60" spans="1:16">
      <c r="A60" t="s">
        <v>6</v>
      </c>
      <c r="B60">
        <v>59</v>
      </c>
      <c r="C60">
        <v>126</v>
      </c>
      <c r="D60">
        <v>68</v>
      </c>
      <c r="E60">
        <v>126</v>
      </c>
      <c r="F60">
        <v>184</v>
      </c>
      <c r="G60">
        <v>472</v>
      </c>
      <c r="H60">
        <v>68</v>
      </c>
      <c r="I60">
        <v>34</v>
      </c>
      <c r="J60">
        <v>552</v>
      </c>
      <c r="K60">
        <v>230</v>
      </c>
      <c r="L60">
        <v>1260</v>
      </c>
      <c r="M60">
        <v>252</v>
      </c>
      <c r="N60">
        <v>126</v>
      </c>
      <c r="O60">
        <f t="shared" si="0"/>
        <v>13.882352941176471</v>
      </c>
      <c r="P60">
        <f t="shared" si="1"/>
        <v>1.4658385093167703</v>
      </c>
    </row>
    <row r="61" spans="1:16">
      <c r="A61" t="s">
        <v>6</v>
      </c>
      <c r="B61">
        <v>60</v>
      </c>
      <c r="C61">
        <v>128</v>
      </c>
      <c r="D61">
        <v>69</v>
      </c>
      <c r="E61">
        <v>128</v>
      </c>
      <c r="F61">
        <v>187</v>
      </c>
      <c r="G61">
        <v>480</v>
      </c>
      <c r="H61">
        <v>69</v>
      </c>
      <c r="I61">
        <v>34</v>
      </c>
      <c r="J61">
        <v>561</v>
      </c>
      <c r="K61">
        <v>233</v>
      </c>
      <c r="L61">
        <v>1280</v>
      </c>
      <c r="M61">
        <v>256</v>
      </c>
      <c r="N61">
        <v>128</v>
      </c>
      <c r="O61">
        <f t="shared" si="0"/>
        <v>13.714285714285714</v>
      </c>
      <c r="P61">
        <f t="shared" si="1"/>
        <v>1.4634146341463414</v>
      </c>
    </row>
    <row r="62" spans="1:16">
      <c r="A62" t="s">
        <v>6</v>
      </c>
      <c r="B62">
        <v>61</v>
      </c>
      <c r="C62">
        <v>130</v>
      </c>
      <c r="D62">
        <v>70</v>
      </c>
      <c r="E62">
        <v>130</v>
      </c>
      <c r="F62">
        <v>190</v>
      </c>
      <c r="G62">
        <v>487</v>
      </c>
      <c r="H62">
        <v>70</v>
      </c>
      <c r="I62">
        <v>35</v>
      </c>
      <c r="J62">
        <v>570</v>
      </c>
      <c r="K62">
        <v>237</v>
      </c>
      <c r="L62">
        <v>1300</v>
      </c>
      <c r="M62">
        <v>260</v>
      </c>
      <c r="N62">
        <v>130</v>
      </c>
      <c r="O62">
        <f t="shared" si="0"/>
        <v>13.914285714285715</v>
      </c>
      <c r="P62">
        <f t="shared" si="1"/>
        <v>1.4624624624624625</v>
      </c>
    </row>
    <row r="63" spans="1:16">
      <c r="A63" t="s">
        <v>6</v>
      </c>
      <c r="B63">
        <v>62</v>
      </c>
      <c r="C63">
        <v>132</v>
      </c>
      <c r="D63">
        <v>71</v>
      </c>
      <c r="E63">
        <v>132</v>
      </c>
      <c r="F63">
        <v>193</v>
      </c>
      <c r="G63">
        <v>495</v>
      </c>
      <c r="H63">
        <v>71</v>
      </c>
      <c r="I63">
        <v>35</v>
      </c>
      <c r="J63">
        <v>579</v>
      </c>
      <c r="K63">
        <v>241</v>
      </c>
      <c r="L63">
        <v>1320</v>
      </c>
      <c r="M63">
        <v>264</v>
      </c>
      <c r="N63">
        <v>132</v>
      </c>
      <c r="O63">
        <f t="shared" si="0"/>
        <v>13.75</v>
      </c>
      <c r="P63">
        <f t="shared" si="1"/>
        <v>1.4644970414201184</v>
      </c>
    </row>
    <row r="64" spans="1:16">
      <c r="A64" t="s">
        <v>6</v>
      </c>
      <c r="B64">
        <v>63</v>
      </c>
      <c r="C64">
        <v>134</v>
      </c>
      <c r="D64">
        <v>72</v>
      </c>
      <c r="E64">
        <v>134</v>
      </c>
      <c r="F64">
        <v>196</v>
      </c>
      <c r="G64">
        <v>502</v>
      </c>
      <c r="H64">
        <v>72</v>
      </c>
      <c r="I64">
        <v>36</v>
      </c>
      <c r="J64">
        <v>588</v>
      </c>
      <c r="K64">
        <v>245</v>
      </c>
      <c r="L64">
        <v>1340</v>
      </c>
      <c r="M64">
        <v>268</v>
      </c>
      <c r="N64">
        <v>134</v>
      </c>
      <c r="O64">
        <f t="shared" si="0"/>
        <v>13.944444444444445</v>
      </c>
      <c r="P64">
        <f t="shared" si="1"/>
        <v>1.4635568513119535</v>
      </c>
    </row>
    <row r="65" spans="1:16">
      <c r="A65" t="s">
        <v>6</v>
      </c>
      <c r="B65">
        <v>64</v>
      </c>
      <c r="C65">
        <v>136</v>
      </c>
      <c r="D65">
        <v>73</v>
      </c>
      <c r="E65">
        <v>136</v>
      </c>
      <c r="F65">
        <v>199</v>
      </c>
      <c r="G65">
        <v>510</v>
      </c>
      <c r="H65">
        <v>73</v>
      </c>
      <c r="I65">
        <v>36</v>
      </c>
      <c r="J65">
        <v>597</v>
      </c>
      <c r="K65">
        <v>248</v>
      </c>
      <c r="L65">
        <v>1360</v>
      </c>
      <c r="M65">
        <v>272</v>
      </c>
      <c r="N65">
        <v>136</v>
      </c>
      <c r="O65">
        <f t="shared" si="0"/>
        <v>13.783783783783784</v>
      </c>
      <c r="P65">
        <f t="shared" si="1"/>
        <v>1.4613180515759312</v>
      </c>
    </row>
    <row r="66" spans="1:16">
      <c r="A66" t="s">
        <v>6</v>
      </c>
      <c r="B66">
        <v>65</v>
      </c>
      <c r="C66">
        <v>138</v>
      </c>
      <c r="D66">
        <v>74</v>
      </c>
      <c r="E66">
        <v>138</v>
      </c>
      <c r="F66">
        <v>202</v>
      </c>
      <c r="G66">
        <v>517</v>
      </c>
      <c r="H66">
        <v>74</v>
      </c>
      <c r="I66">
        <v>37</v>
      </c>
      <c r="J66">
        <v>606</v>
      </c>
      <c r="K66">
        <v>252</v>
      </c>
      <c r="L66">
        <v>1380</v>
      </c>
      <c r="M66">
        <v>276</v>
      </c>
      <c r="N66">
        <v>138</v>
      </c>
      <c r="O66">
        <f t="shared" si="0"/>
        <v>13.972972972972974</v>
      </c>
      <c r="P66">
        <f t="shared" si="1"/>
        <v>1.46045197740113</v>
      </c>
    </row>
    <row r="67" spans="1:16">
      <c r="A67" t="s">
        <v>6</v>
      </c>
      <c r="B67">
        <v>66</v>
      </c>
      <c r="C67">
        <v>140</v>
      </c>
      <c r="D67">
        <v>75</v>
      </c>
      <c r="E67">
        <v>140</v>
      </c>
      <c r="F67">
        <v>205</v>
      </c>
      <c r="G67">
        <v>525</v>
      </c>
      <c r="H67">
        <v>75</v>
      </c>
      <c r="I67">
        <v>37</v>
      </c>
      <c r="J67">
        <v>615</v>
      </c>
      <c r="K67">
        <v>256</v>
      </c>
      <c r="L67">
        <v>1400</v>
      </c>
      <c r="M67">
        <v>280</v>
      </c>
      <c r="N67">
        <v>140</v>
      </c>
      <c r="O67">
        <f t="shared" ref="O67:O101" si="2">G67/(H67-I67)</f>
        <v>13.815789473684211</v>
      </c>
      <c r="P67">
        <f t="shared" ref="P67:P101" si="3">G67/(J67-K67)</f>
        <v>1.4623955431754874</v>
      </c>
    </row>
    <row r="68" spans="1:16">
      <c r="A68" t="s">
        <v>6</v>
      </c>
      <c r="B68">
        <v>67</v>
      </c>
      <c r="C68">
        <v>142</v>
      </c>
      <c r="D68">
        <v>76</v>
      </c>
      <c r="E68">
        <v>142</v>
      </c>
      <c r="F68">
        <v>208</v>
      </c>
      <c r="G68">
        <v>532</v>
      </c>
      <c r="H68">
        <v>76</v>
      </c>
      <c r="I68">
        <v>38</v>
      </c>
      <c r="J68">
        <v>624</v>
      </c>
      <c r="K68">
        <v>260</v>
      </c>
      <c r="L68">
        <v>1420</v>
      </c>
      <c r="M68">
        <v>284</v>
      </c>
      <c r="N68">
        <v>142</v>
      </c>
      <c r="O68">
        <f t="shared" si="2"/>
        <v>14</v>
      </c>
      <c r="P68">
        <f t="shared" si="3"/>
        <v>1.4615384615384615</v>
      </c>
    </row>
    <row r="69" spans="1:16">
      <c r="A69" t="s">
        <v>6</v>
      </c>
      <c r="B69">
        <v>68</v>
      </c>
      <c r="C69">
        <v>144</v>
      </c>
      <c r="D69">
        <v>77</v>
      </c>
      <c r="E69">
        <v>144</v>
      </c>
      <c r="F69">
        <v>211</v>
      </c>
      <c r="G69">
        <v>540</v>
      </c>
      <c r="H69">
        <v>77</v>
      </c>
      <c r="I69">
        <v>38</v>
      </c>
      <c r="J69">
        <v>633</v>
      </c>
      <c r="K69">
        <v>263</v>
      </c>
      <c r="L69">
        <v>1440</v>
      </c>
      <c r="M69">
        <v>288</v>
      </c>
      <c r="N69">
        <v>144</v>
      </c>
      <c r="O69">
        <f t="shared" si="2"/>
        <v>13.846153846153847</v>
      </c>
      <c r="P69">
        <f t="shared" si="3"/>
        <v>1.4594594594594594</v>
      </c>
    </row>
    <row r="70" spans="1:16">
      <c r="A70" t="s">
        <v>6</v>
      </c>
      <c r="B70">
        <v>69</v>
      </c>
      <c r="C70">
        <v>146</v>
      </c>
      <c r="D70">
        <v>78</v>
      </c>
      <c r="E70">
        <v>146</v>
      </c>
      <c r="F70">
        <v>214</v>
      </c>
      <c r="G70">
        <v>547</v>
      </c>
      <c r="H70">
        <v>78</v>
      </c>
      <c r="I70">
        <v>39</v>
      </c>
      <c r="J70">
        <v>642</v>
      </c>
      <c r="K70">
        <v>267</v>
      </c>
      <c r="L70">
        <v>1460</v>
      </c>
      <c r="M70">
        <v>292</v>
      </c>
      <c r="N70">
        <v>146</v>
      </c>
      <c r="O70">
        <f t="shared" si="2"/>
        <v>14.025641025641026</v>
      </c>
      <c r="P70">
        <f t="shared" si="3"/>
        <v>1.4586666666666666</v>
      </c>
    </row>
    <row r="71" spans="1:16">
      <c r="A71" t="s">
        <v>6</v>
      </c>
      <c r="B71">
        <v>70</v>
      </c>
      <c r="C71">
        <v>148</v>
      </c>
      <c r="D71">
        <v>79</v>
      </c>
      <c r="E71">
        <v>148</v>
      </c>
      <c r="F71">
        <v>217</v>
      </c>
      <c r="G71">
        <v>555</v>
      </c>
      <c r="H71">
        <v>79</v>
      </c>
      <c r="I71">
        <v>39</v>
      </c>
      <c r="J71">
        <v>651</v>
      </c>
      <c r="K71">
        <v>271</v>
      </c>
      <c r="L71">
        <v>1480</v>
      </c>
      <c r="M71">
        <v>296</v>
      </c>
      <c r="N71">
        <v>148</v>
      </c>
      <c r="O71">
        <f t="shared" si="2"/>
        <v>13.875</v>
      </c>
      <c r="P71">
        <f t="shared" si="3"/>
        <v>1.4605263157894737</v>
      </c>
    </row>
    <row r="72" spans="1:16">
      <c r="A72" t="s">
        <v>6</v>
      </c>
      <c r="B72">
        <v>71</v>
      </c>
      <c r="C72">
        <v>150</v>
      </c>
      <c r="D72">
        <v>80</v>
      </c>
      <c r="E72">
        <v>150</v>
      </c>
      <c r="F72">
        <v>220</v>
      </c>
      <c r="G72">
        <v>562</v>
      </c>
      <c r="H72">
        <v>80</v>
      </c>
      <c r="I72">
        <v>40</v>
      </c>
      <c r="J72">
        <v>660</v>
      </c>
      <c r="K72">
        <v>275</v>
      </c>
      <c r="L72">
        <v>1500</v>
      </c>
      <c r="M72">
        <v>300</v>
      </c>
      <c r="N72">
        <v>150</v>
      </c>
      <c r="O72">
        <f t="shared" si="2"/>
        <v>14.05</v>
      </c>
      <c r="P72">
        <f t="shared" si="3"/>
        <v>1.4597402597402598</v>
      </c>
    </row>
    <row r="73" spans="1:16">
      <c r="A73" t="s">
        <v>6</v>
      </c>
      <c r="B73">
        <v>72</v>
      </c>
      <c r="C73">
        <v>152</v>
      </c>
      <c r="D73">
        <v>81</v>
      </c>
      <c r="E73">
        <v>152</v>
      </c>
      <c r="F73">
        <v>223</v>
      </c>
      <c r="G73">
        <v>570</v>
      </c>
      <c r="H73">
        <v>81</v>
      </c>
      <c r="I73">
        <v>40</v>
      </c>
      <c r="J73">
        <v>669</v>
      </c>
      <c r="K73">
        <v>278</v>
      </c>
      <c r="L73">
        <v>1520</v>
      </c>
      <c r="M73">
        <v>304</v>
      </c>
      <c r="N73">
        <v>152</v>
      </c>
      <c r="O73">
        <f t="shared" si="2"/>
        <v>13.902439024390244</v>
      </c>
      <c r="P73">
        <f t="shared" si="3"/>
        <v>1.4578005115089514</v>
      </c>
    </row>
    <row r="74" spans="1:16">
      <c r="A74" t="s">
        <v>6</v>
      </c>
      <c r="B74">
        <v>73</v>
      </c>
      <c r="C74">
        <v>154</v>
      </c>
      <c r="D74">
        <v>82</v>
      </c>
      <c r="E74">
        <v>154</v>
      </c>
      <c r="F74">
        <v>226</v>
      </c>
      <c r="G74">
        <v>577</v>
      </c>
      <c r="H74">
        <v>82</v>
      </c>
      <c r="I74">
        <v>41</v>
      </c>
      <c r="J74">
        <v>678</v>
      </c>
      <c r="K74">
        <v>282</v>
      </c>
      <c r="L74">
        <v>1540</v>
      </c>
      <c r="M74">
        <v>308</v>
      </c>
      <c r="N74">
        <v>154</v>
      </c>
      <c r="O74">
        <f t="shared" si="2"/>
        <v>14.073170731707316</v>
      </c>
      <c r="P74">
        <f t="shared" si="3"/>
        <v>1.457070707070707</v>
      </c>
    </row>
    <row r="75" spans="1:16">
      <c r="A75" t="s">
        <v>6</v>
      </c>
      <c r="B75">
        <v>74</v>
      </c>
      <c r="C75">
        <v>156</v>
      </c>
      <c r="D75">
        <v>83</v>
      </c>
      <c r="E75">
        <v>156</v>
      </c>
      <c r="F75">
        <v>229</v>
      </c>
      <c r="G75">
        <v>585</v>
      </c>
      <c r="H75">
        <v>83</v>
      </c>
      <c r="I75">
        <v>41</v>
      </c>
      <c r="J75">
        <v>687</v>
      </c>
      <c r="K75">
        <v>286</v>
      </c>
      <c r="L75">
        <v>1560</v>
      </c>
      <c r="M75">
        <v>312</v>
      </c>
      <c r="N75">
        <v>156</v>
      </c>
      <c r="O75">
        <f t="shared" si="2"/>
        <v>13.928571428571429</v>
      </c>
      <c r="P75">
        <f t="shared" si="3"/>
        <v>1.458852867830424</v>
      </c>
    </row>
    <row r="76" spans="1:16">
      <c r="A76" t="s">
        <v>6</v>
      </c>
      <c r="B76">
        <v>75</v>
      </c>
      <c r="C76">
        <v>158</v>
      </c>
      <c r="D76">
        <v>84</v>
      </c>
      <c r="E76">
        <v>158</v>
      </c>
      <c r="F76">
        <v>232</v>
      </c>
      <c r="G76">
        <v>592</v>
      </c>
      <c r="H76">
        <v>84</v>
      </c>
      <c r="I76">
        <v>42</v>
      </c>
      <c r="J76">
        <v>696</v>
      </c>
      <c r="K76">
        <v>290</v>
      </c>
      <c r="L76">
        <v>1580</v>
      </c>
      <c r="M76">
        <v>316</v>
      </c>
      <c r="N76">
        <v>158</v>
      </c>
      <c r="O76">
        <f t="shared" si="2"/>
        <v>14.095238095238095</v>
      </c>
      <c r="P76">
        <f t="shared" si="3"/>
        <v>1.458128078817734</v>
      </c>
    </row>
    <row r="77" spans="1:16">
      <c r="A77" t="s">
        <v>6</v>
      </c>
      <c r="B77">
        <v>76</v>
      </c>
      <c r="C77">
        <v>160</v>
      </c>
      <c r="D77">
        <v>85</v>
      </c>
      <c r="E77">
        <v>160</v>
      </c>
      <c r="F77">
        <v>235</v>
      </c>
      <c r="G77">
        <v>600</v>
      </c>
      <c r="H77">
        <v>85</v>
      </c>
      <c r="I77">
        <v>42</v>
      </c>
      <c r="J77">
        <v>705</v>
      </c>
      <c r="K77">
        <v>293</v>
      </c>
      <c r="L77">
        <v>1600</v>
      </c>
      <c r="M77">
        <v>320</v>
      </c>
      <c r="N77">
        <v>160</v>
      </c>
      <c r="O77">
        <f t="shared" si="2"/>
        <v>13.953488372093023</v>
      </c>
      <c r="P77">
        <f t="shared" si="3"/>
        <v>1.4563106796116505</v>
      </c>
    </row>
    <row r="78" spans="1:16">
      <c r="A78" t="s">
        <v>6</v>
      </c>
      <c r="B78">
        <v>77</v>
      </c>
      <c r="C78">
        <v>162</v>
      </c>
      <c r="D78">
        <v>86</v>
      </c>
      <c r="E78">
        <v>162</v>
      </c>
      <c r="F78">
        <v>238</v>
      </c>
      <c r="G78">
        <v>607</v>
      </c>
      <c r="H78">
        <v>86</v>
      </c>
      <c r="I78">
        <v>43</v>
      </c>
      <c r="J78">
        <v>714</v>
      </c>
      <c r="K78">
        <v>297</v>
      </c>
      <c r="L78">
        <v>1620</v>
      </c>
      <c r="M78">
        <v>324</v>
      </c>
      <c r="N78">
        <v>162</v>
      </c>
      <c r="O78">
        <f t="shared" si="2"/>
        <v>14.116279069767442</v>
      </c>
      <c r="P78">
        <f t="shared" si="3"/>
        <v>1.4556354916067147</v>
      </c>
    </row>
    <row r="79" spans="1:16">
      <c r="A79" t="s">
        <v>6</v>
      </c>
      <c r="B79">
        <v>78</v>
      </c>
      <c r="C79">
        <v>164</v>
      </c>
      <c r="D79">
        <v>87</v>
      </c>
      <c r="E79">
        <v>164</v>
      </c>
      <c r="F79">
        <v>241</v>
      </c>
      <c r="G79">
        <v>615</v>
      </c>
      <c r="H79">
        <v>87</v>
      </c>
      <c r="I79">
        <v>43</v>
      </c>
      <c r="J79">
        <v>723</v>
      </c>
      <c r="K79">
        <v>301</v>
      </c>
      <c r="L79">
        <v>1640</v>
      </c>
      <c r="M79">
        <v>328</v>
      </c>
      <c r="N79">
        <v>164</v>
      </c>
      <c r="O79">
        <f t="shared" si="2"/>
        <v>13.977272727272727</v>
      </c>
      <c r="P79">
        <f t="shared" si="3"/>
        <v>1.4573459715639809</v>
      </c>
    </row>
    <row r="80" spans="1:16">
      <c r="A80" t="s">
        <v>6</v>
      </c>
      <c r="B80">
        <v>79</v>
      </c>
      <c r="C80">
        <v>166</v>
      </c>
      <c r="D80">
        <v>88</v>
      </c>
      <c r="E80">
        <v>166</v>
      </c>
      <c r="F80">
        <v>244</v>
      </c>
      <c r="G80">
        <v>622</v>
      </c>
      <c r="H80">
        <v>88</v>
      </c>
      <c r="I80">
        <v>44</v>
      </c>
      <c r="J80">
        <v>732</v>
      </c>
      <c r="K80">
        <v>305</v>
      </c>
      <c r="L80">
        <v>1660</v>
      </c>
      <c r="M80">
        <v>332</v>
      </c>
      <c r="N80">
        <v>166</v>
      </c>
      <c r="O80">
        <f t="shared" si="2"/>
        <v>14.136363636363637</v>
      </c>
      <c r="P80">
        <f t="shared" si="3"/>
        <v>1.4566744730679158</v>
      </c>
    </row>
    <row r="81" spans="1:16">
      <c r="A81" t="s">
        <v>6</v>
      </c>
      <c r="B81">
        <v>80</v>
      </c>
      <c r="C81">
        <v>168</v>
      </c>
      <c r="D81">
        <v>89</v>
      </c>
      <c r="E81">
        <v>168</v>
      </c>
      <c r="F81">
        <v>247</v>
      </c>
      <c r="G81">
        <v>630</v>
      </c>
      <c r="H81">
        <v>89</v>
      </c>
      <c r="I81">
        <v>44</v>
      </c>
      <c r="J81">
        <v>741</v>
      </c>
      <c r="K81">
        <v>308</v>
      </c>
      <c r="L81">
        <v>1680</v>
      </c>
      <c r="M81">
        <v>336</v>
      </c>
      <c r="N81">
        <v>168</v>
      </c>
      <c r="O81">
        <f t="shared" si="2"/>
        <v>14</v>
      </c>
      <c r="P81">
        <f t="shared" si="3"/>
        <v>1.4549653579676673</v>
      </c>
    </row>
    <row r="82" spans="1:16">
      <c r="A82" t="s">
        <v>6</v>
      </c>
      <c r="B82">
        <v>81</v>
      </c>
      <c r="C82">
        <v>170</v>
      </c>
      <c r="D82">
        <v>90</v>
      </c>
      <c r="E82">
        <v>170</v>
      </c>
      <c r="F82">
        <v>250</v>
      </c>
      <c r="G82">
        <v>637</v>
      </c>
      <c r="H82">
        <v>90</v>
      </c>
      <c r="I82">
        <v>45</v>
      </c>
      <c r="J82">
        <v>750</v>
      </c>
      <c r="K82">
        <v>312</v>
      </c>
      <c r="L82">
        <v>1700</v>
      </c>
      <c r="M82">
        <v>340</v>
      </c>
      <c r="N82">
        <v>170</v>
      </c>
      <c r="O82">
        <f t="shared" si="2"/>
        <v>14.155555555555555</v>
      </c>
      <c r="P82">
        <f t="shared" si="3"/>
        <v>1.4543378995433789</v>
      </c>
    </row>
    <row r="83" spans="1:16">
      <c r="A83" t="s">
        <v>6</v>
      </c>
      <c r="B83">
        <v>82</v>
      </c>
      <c r="C83">
        <v>172</v>
      </c>
      <c r="D83">
        <v>91</v>
      </c>
      <c r="E83">
        <v>172</v>
      </c>
      <c r="F83">
        <v>253</v>
      </c>
      <c r="G83">
        <v>645</v>
      </c>
      <c r="H83">
        <v>91</v>
      </c>
      <c r="I83">
        <v>45</v>
      </c>
      <c r="J83">
        <v>759</v>
      </c>
      <c r="K83">
        <v>316</v>
      </c>
      <c r="L83">
        <v>1720</v>
      </c>
      <c r="M83">
        <v>344</v>
      </c>
      <c r="N83">
        <v>172</v>
      </c>
      <c r="O83">
        <f t="shared" si="2"/>
        <v>14.021739130434783</v>
      </c>
      <c r="P83">
        <f t="shared" si="3"/>
        <v>1.4559819413092552</v>
      </c>
    </row>
    <row r="84" spans="1:16">
      <c r="A84" t="s">
        <v>6</v>
      </c>
      <c r="B84">
        <v>83</v>
      </c>
      <c r="C84">
        <v>174</v>
      </c>
      <c r="D84">
        <v>92</v>
      </c>
      <c r="E84">
        <v>174</v>
      </c>
      <c r="F84">
        <v>256</v>
      </c>
      <c r="G84">
        <v>652</v>
      </c>
      <c r="H84">
        <v>92</v>
      </c>
      <c r="I84">
        <v>46</v>
      </c>
      <c r="J84">
        <v>768</v>
      </c>
      <c r="K84">
        <v>320</v>
      </c>
      <c r="L84">
        <v>1740</v>
      </c>
      <c r="M84">
        <v>348</v>
      </c>
      <c r="N84">
        <v>174</v>
      </c>
      <c r="O84">
        <f t="shared" si="2"/>
        <v>14.173913043478262</v>
      </c>
      <c r="P84">
        <f t="shared" si="3"/>
        <v>1.4553571428571428</v>
      </c>
    </row>
    <row r="85" spans="1:16">
      <c r="A85" t="s">
        <v>6</v>
      </c>
      <c r="B85">
        <v>84</v>
      </c>
      <c r="C85">
        <v>176</v>
      </c>
      <c r="D85">
        <v>93</v>
      </c>
      <c r="E85">
        <v>176</v>
      </c>
      <c r="F85">
        <v>259</v>
      </c>
      <c r="G85">
        <v>660</v>
      </c>
      <c r="H85">
        <v>93</v>
      </c>
      <c r="I85">
        <v>46</v>
      </c>
      <c r="J85">
        <v>777</v>
      </c>
      <c r="K85">
        <v>323</v>
      </c>
      <c r="L85">
        <v>1760</v>
      </c>
      <c r="M85">
        <v>352</v>
      </c>
      <c r="N85">
        <v>176</v>
      </c>
      <c r="O85">
        <f t="shared" si="2"/>
        <v>14.042553191489361</v>
      </c>
      <c r="P85">
        <f t="shared" si="3"/>
        <v>1.4537444933920705</v>
      </c>
    </row>
    <row r="86" spans="1:16">
      <c r="A86" t="s">
        <v>6</v>
      </c>
      <c r="B86">
        <v>85</v>
      </c>
      <c r="C86">
        <v>178</v>
      </c>
      <c r="D86">
        <v>94</v>
      </c>
      <c r="E86">
        <v>178</v>
      </c>
      <c r="F86">
        <v>262</v>
      </c>
      <c r="G86">
        <v>667</v>
      </c>
      <c r="H86">
        <v>94</v>
      </c>
      <c r="I86">
        <v>47</v>
      </c>
      <c r="J86">
        <v>786</v>
      </c>
      <c r="K86">
        <v>327</v>
      </c>
      <c r="L86">
        <v>1780</v>
      </c>
      <c r="M86">
        <v>356</v>
      </c>
      <c r="N86">
        <v>178</v>
      </c>
      <c r="O86">
        <f t="shared" si="2"/>
        <v>14.191489361702128</v>
      </c>
      <c r="P86">
        <f t="shared" si="3"/>
        <v>1.4531590413943356</v>
      </c>
    </row>
    <row r="87" spans="1:16">
      <c r="A87" t="s">
        <v>6</v>
      </c>
      <c r="B87">
        <v>86</v>
      </c>
      <c r="C87">
        <v>180</v>
      </c>
      <c r="D87">
        <v>95</v>
      </c>
      <c r="E87">
        <v>180</v>
      </c>
      <c r="F87">
        <v>265</v>
      </c>
      <c r="G87">
        <v>675</v>
      </c>
      <c r="H87">
        <v>95</v>
      </c>
      <c r="I87">
        <v>47</v>
      </c>
      <c r="J87">
        <v>795</v>
      </c>
      <c r="K87">
        <v>331</v>
      </c>
      <c r="L87">
        <v>1800</v>
      </c>
      <c r="M87">
        <v>360</v>
      </c>
      <c r="N87">
        <v>180</v>
      </c>
      <c r="O87">
        <f t="shared" si="2"/>
        <v>14.0625</v>
      </c>
      <c r="P87">
        <f t="shared" si="3"/>
        <v>1.4547413793103448</v>
      </c>
    </row>
    <row r="88" spans="1:16">
      <c r="A88" t="s">
        <v>6</v>
      </c>
      <c r="B88">
        <v>87</v>
      </c>
      <c r="C88">
        <v>182</v>
      </c>
      <c r="D88">
        <v>96</v>
      </c>
      <c r="E88">
        <v>182</v>
      </c>
      <c r="F88">
        <v>268</v>
      </c>
      <c r="G88">
        <v>682</v>
      </c>
      <c r="H88">
        <v>96</v>
      </c>
      <c r="I88">
        <v>48</v>
      </c>
      <c r="J88">
        <v>804</v>
      </c>
      <c r="K88">
        <v>335</v>
      </c>
      <c r="L88">
        <v>1820</v>
      </c>
      <c r="M88">
        <v>364</v>
      </c>
      <c r="N88">
        <v>182</v>
      </c>
      <c r="O88">
        <f t="shared" si="2"/>
        <v>14.208333333333334</v>
      </c>
      <c r="P88">
        <f t="shared" si="3"/>
        <v>1.4541577825159915</v>
      </c>
    </row>
    <row r="89" spans="1:16">
      <c r="A89" t="s">
        <v>6</v>
      </c>
      <c r="B89">
        <v>88</v>
      </c>
      <c r="C89">
        <v>184</v>
      </c>
      <c r="D89">
        <v>97</v>
      </c>
      <c r="E89">
        <v>184</v>
      </c>
      <c r="F89">
        <v>271</v>
      </c>
      <c r="G89">
        <v>690</v>
      </c>
      <c r="H89">
        <v>97</v>
      </c>
      <c r="I89">
        <v>48</v>
      </c>
      <c r="J89">
        <v>813</v>
      </c>
      <c r="K89">
        <v>338</v>
      </c>
      <c r="L89">
        <v>1840</v>
      </c>
      <c r="M89">
        <v>368</v>
      </c>
      <c r="N89">
        <v>184</v>
      </c>
      <c r="O89">
        <f t="shared" si="2"/>
        <v>14.081632653061224</v>
      </c>
      <c r="P89">
        <f t="shared" si="3"/>
        <v>1.4526315789473685</v>
      </c>
    </row>
    <row r="90" spans="1:16">
      <c r="A90" t="s">
        <v>6</v>
      </c>
      <c r="B90">
        <v>89</v>
      </c>
      <c r="C90">
        <v>186</v>
      </c>
      <c r="D90">
        <v>98</v>
      </c>
      <c r="E90">
        <v>186</v>
      </c>
      <c r="F90">
        <v>274</v>
      </c>
      <c r="G90">
        <v>697</v>
      </c>
      <c r="H90">
        <v>98</v>
      </c>
      <c r="I90">
        <v>49</v>
      </c>
      <c r="J90">
        <v>822</v>
      </c>
      <c r="K90">
        <v>342</v>
      </c>
      <c r="L90">
        <v>1860</v>
      </c>
      <c r="M90">
        <v>372</v>
      </c>
      <c r="N90">
        <v>186</v>
      </c>
      <c r="O90">
        <f t="shared" si="2"/>
        <v>14.224489795918368</v>
      </c>
      <c r="P90">
        <f t="shared" si="3"/>
        <v>1.4520833333333334</v>
      </c>
    </row>
    <row r="91" spans="1:16">
      <c r="A91" t="s">
        <v>6</v>
      </c>
      <c r="B91">
        <v>90</v>
      </c>
      <c r="C91">
        <v>188</v>
      </c>
      <c r="D91">
        <v>99</v>
      </c>
      <c r="E91">
        <v>188</v>
      </c>
      <c r="F91">
        <v>277</v>
      </c>
      <c r="G91">
        <v>705</v>
      </c>
      <c r="H91">
        <v>99</v>
      </c>
      <c r="I91">
        <v>49</v>
      </c>
      <c r="J91">
        <v>831</v>
      </c>
      <c r="K91">
        <v>346</v>
      </c>
      <c r="L91">
        <v>1880</v>
      </c>
      <c r="M91">
        <v>376</v>
      </c>
      <c r="N91">
        <v>188</v>
      </c>
      <c r="O91">
        <f t="shared" si="2"/>
        <v>14.1</v>
      </c>
      <c r="P91">
        <f t="shared" si="3"/>
        <v>1.4536082474226804</v>
      </c>
    </row>
    <row r="92" spans="1:16">
      <c r="A92" t="s">
        <v>6</v>
      </c>
      <c r="B92">
        <v>91</v>
      </c>
      <c r="C92">
        <v>190</v>
      </c>
      <c r="D92">
        <v>100</v>
      </c>
      <c r="E92">
        <v>190</v>
      </c>
      <c r="F92">
        <v>280</v>
      </c>
      <c r="G92">
        <v>712</v>
      </c>
      <c r="H92">
        <v>100</v>
      </c>
      <c r="I92">
        <v>50</v>
      </c>
      <c r="J92">
        <v>840</v>
      </c>
      <c r="K92">
        <v>350</v>
      </c>
      <c r="L92">
        <v>1900</v>
      </c>
      <c r="M92">
        <v>380</v>
      </c>
      <c r="N92">
        <v>190</v>
      </c>
      <c r="O92">
        <f t="shared" si="2"/>
        <v>14.24</v>
      </c>
      <c r="P92">
        <f t="shared" si="3"/>
        <v>1.453061224489796</v>
      </c>
    </row>
    <row r="93" spans="1:16">
      <c r="A93" t="s">
        <v>6</v>
      </c>
      <c r="B93">
        <v>92</v>
      </c>
      <c r="C93">
        <v>192</v>
      </c>
      <c r="D93">
        <v>101</v>
      </c>
      <c r="E93">
        <v>192</v>
      </c>
      <c r="F93">
        <v>283</v>
      </c>
      <c r="G93">
        <v>720</v>
      </c>
      <c r="H93">
        <v>101</v>
      </c>
      <c r="I93">
        <v>50</v>
      </c>
      <c r="J93">
        <v>849</v>
      </c>
      <c r="K93">
        <v>353</v>
      </c>
      <c r="L93">
        <v>1920</v>
      </c>
      <c r="M93">
        <v>384</v>
      </c>
      <c r="N93">
        <v>192</v>
      </c>
      <c r="O93">
        <f t="shared" si="2"/>
        <v>14.117647058823529</v>
      </c>
      <c r="P93">
        <f t="shared" si="3"/>
        <v>1.4516129032258065</v>
      </c>
    </row>
    <row r="94" spans="1:16">
      <c r="A94" t="s">
        <v>6</v>
      </c>
      <c r="B94">
        <v>93</v>
      </c>
      <c r="C94">
        <v>194</v>
      </c>
      <c r="D94">
        <v>102</v>
      </c>
      <c r="E94">
        <v>194</v>
      </c>
      <c r="F94">
        <v>286</v>
      </c>
      <c r="G94">
        <v>727</v>
      </c>
      <c r="H94">
        <v>102</v>
      </c>
      <c r="I94">
        <v>51</v>
      </c>
      <c r="J94">
        <v>858</v>
      </c>
      <c r="K94">
        <v>357</v>
      </c>
      <c r="L94">
        <v>1940</v>
      </c>
      <c r="M94">
        <v>388</v>
      </c>
      <c r="N94">
        <v>194</v>
      </c>
      <c r="O94">
        <f t="shared" si="2"/>
        <v>14.254901960784315</v>
      </c>
      <c r="P94">
        <f t="shared" si="3"/>
        <v>1.4510978043912175</v>
      </c>
    </row>
    <row r="95" spans="1:16">
      <c r="A95" t="s">
        <v>6</v>
      </c>
      <c r="B95">
        <v>94</v>
      </c>
      <c r="C95">
        <v>196</v>
      </c>
      <c r="D95">
        <v>103</v>
      </c>
      <c r="E95">
        <v>196</v>
      </c>
      <c r="F95">
        <v>289</v>
      </c>
      <c r="G95">
        <v>735</v>
      </c>
      <c r="H95">
        <v>103</v>
      </c>
      <c r="I95">
        <v>51</v>
      </c>
      <c r="J95">
        <v>867</v>
      </c>
      <c r="K95">
        <v>361</v>
      </c>
      <c r="L95">
        <v>1960</v>
      </c>
      <c r="M95">
        <v>392</v>
      </c>
      <c r="N95">
        <v>196</v>
      </c>
      <c r="O95">
        <f t="shared" si="2"/>
        <v>14.134615384615385</v>
      </c>
      <c r="P95">
        <f t="shared" si="3"/>
        <v>1.4525691699604744</v>
      </c>
    </row>
    <row r="96" spans="1:16">
      <c r="A96" t="s">
        <v>6</v>
      </c>
      <c r="B96">
        <v>95</v>
      </c>
      <c r="C96">
        <v>198</v>
      </c>
      <c r="D96">
        <v>104</v>
      </c>
      <c r="E96">
        <v>198</v>
      </c>
      <c r="F96">
        <v>292</v>
      </c>
      <c r="G96">
        <v>742</v>
      </c>
      <c r="H96">
        <v>104</v>
      </c>
      <c r="I96">
        <v>52</v>
      </c>
      <c r="J96">
        <v>876</v>
      </c>
      <c r="K96">
        <v>365</v>
      </c>
      <c r="L96">
        <v>1980</v>
      </c>
      <c r="M96">
        <v>396</v>
      </c>
      <c r="N96">
        <v>198</v>
      </c>
      <c r="O96">
        <f t="shared" si="2"/>
        <v>14.26923076923077</v>
      </c>
      <c r="P96">
        <f t="shared" si="3"/>
        <v>1.452054794520548</v>
      </c>
    </row>
    <row r="97" spans="1:16">
      <c r="A97" t="s">
        <v>6</v>
      </c>
      <c r="B97">
        <v>96</v>
      </c>
      <c r="C97">
        <v>200</v>
      </c>
      <c r="D97">
        <v>105</v>
      </c>
      <c r="E97">
        <v>200</v>
      </c>
      <c r="F97">
        <v>295</v>
      </c>
      <c r="G97">
        <v>750</v>
      </c>
      <c r="H97">
        <v>105</v>
      </c>
      <c r="I97">
        <v>52</v>
      </c>
      <c r="J97">
        <v>885</v>
      </c>
      <c r="K97">
        <v>368</v>
      </c>
      <c r="L97">
        <v>2000</v>
      </c>
      <c r="M97">
        <v>400</v>
      </c>
      <c r="N97">
        <v>200</v>
      </c>
      <c r="O97">
        <f t="shared" si="2"/>
        <v>14.150943396226415</v>
      </c>
      <c r="P97">
        <f t="shared" si="3"/>
        <v>1.4506769825918762</v>
      </c>
    </row>
    <row r="98" spans="1:16">
      <c r="A98" t="s">
        <v>6</v>
      </c>
      <c r="B98">
        <v>97</v>
      </c>
      <c r="C98">
        <v>202</v>
      </c>
      <c r="D98">
        <v>106</v>
      </c>
      <c r="E98">
        <v>202</v>
      </c>
      <c r="F98">
        <v>298</v>
      </c>
      <c r="G98">
        <v>757</v>
      </c>
      <c r="H98">
        <v>106</v>
      </c>
      <c r="I98">
        <v>53</v>
      </c>
      <c r="J98">
        <v>894</v>
      </c>
      <c r="K98">
        <v>372</v>
      </c>
      <c r="L98">
        <v>2020</v>
      </c>
      <c r="M98">
        <v>404</v>
      </c>
      <c r="N98">
        <v>202</v>
      </c>
      <c r="O98">
        <f t="shared" si="2"/>
        <v>14.283018867924529</v>
      </c>
      <c r="P98">
        <f t="shared" si="3"/>
        <v>1.4501915708812261</v>
      </c>
    </row>
    <row r="99" spans="1:16">
      <c r="A99" t="s">
        <v>6</v>
      </c>
      <c r="B99">
        <v>98</v>
      </c>
      <c r="C99">
        <v>204</v>
      </c>
      <c r="D99">
        <v>107</v>
      </c>
      <c r="E99">
        <v>204</v>
      </c>
      <c r="F99">
        <v>301</v>
      </c>
      <c r="G99">
        <v>765</v>
      </c>
      <c r="H99">
        <v>107</v>
      </c>
      <c r="I99">
        <v>53</v>
      </c>
      <c r="J99">
        <v>903</v>
      </c>
      <c r="K99">
        <v>376</v>
      </c>
      <c r="L99">
        <v>2040</v>
      </c>
      <c r="M99">
        <v>408</v>
      </c>
      <c r="N99">
        <v>204</v>
      </c>
      <c r="O99">
        <f t="shared" si="2"/>
        <v>14.166666666666666</v>
      </c>
      <c r="P99">
        <f t="shared" si="3"/>
        <v>1.4516129032258065</v>
      </c>
    </row>
    <row r="100" spans="1:16">
      <c r="A100" t="s">
        <v>6</v>
      </c>
      <c r="B100">
        <v>99</v>
      </c>
      <c r="C100">
        <v>206</v>
      </c>
      <c r="D100">
        <v>108</v>
      </c>
      <c r="E100">
        <v>206</v>
      </c>
      <c r="F100">
        <v>304</v>
      </c>
      <c r="G100">
        <v>772</v>
      </c>
      <c r="H100">
        <v>108</v>
      </c>
      <c r="I100">
        <v>54</v>
      </c>
      <c r="J100">
        <v>912</v>
      </c>
      <c r="K100">
        <v>380</v>
      </c>
      <c r="L100">
        <v>2060</v>
      </c>
      <c r="M100">
        <v>412</v>
      </c>
      <c r="N100">
        <v>206</v>
      </c>
      <c r="O100">
        <f t="shared" si="2"/>
        <v>14.296296296296296</v>
      </c>
      <c r="P100">
        <f t="shared" si="3"/>
        <v>1.4511278195488722</v>
      </c>
    </row>
    <row r="101" spans="1:16">
      <c r="A101" t="s">
        <v>6</v>
      </c>
      <c r="B101">
        <v>100</v>
      </c>
      <c r="C101">
        <v>208</v>
      </c>
      <c r="D101">
        <v>109</v>
      </c>
      <c r="E101">
        <v>208</v>
      </c>
      <c r="F101">
        <v>307</v>
      </c>
      <c r="G101">
        <v>780</v>
      </c>
      <c r="H101">
        <v>109</v>
      </c>
      <c r="I101">
        <v>54</v>
      </c>
      <c r="J101">
        <v>921</v>
      </c>
      <c r="K101">
        <v>383</v>
      </c>
      <c r="L101">
        <v>2080</v>
      </c>
      <c r="M101">
        <v>416</v>
      </c>
      <c r="N101">
        <v>208</v>
      </c>
      <c r="O101">
        <f t="shared" si="2"/>
        <v>14.181818181818182</v>
      </c>
      <c r="P101">
        <f t="shared" si="3"/>
        <v>1.449814126394052</v>
      </c>
    </row>
  </sheetData>
  <phoneticPr fontId="1" type="noConversion"/>
  <pageMargins left="0.7" right="0.7" top="0.75" bottom="0.75" header="0.3" footer="0.3"/>
  <legacyDrawing r:id="rId1"/>
  <controls>
    <control shapeId="10241" r:id="rId2" name="CommandButton1"/>
  </control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N16"/>
  <sheetViews>
    <sheetView workbookViewId="0">
      <selection activeCell="L19" sqref="L19"/>
    </sheetView>
  </sheetViews>
  <sheetFormatPr defaultRowHeight="13.5"/>
  <cols>
    <col min="12" max="12" width="13.125" customWidth="1"/>
    <col min="13" max="13" width="12.875" customWidth="1"/>
    <col min="14" max="14" width="10.875" customWidth="1"/>
    <col min="15" max="15" width="11.375" customWidth="1"/>
  </cols>
  <sheetData>
    <row r="1" spans="1:14">
      <c r="A1" t="s">
        <v>30</v>
      </c>
      <c r="B1" t="s">
        <v>138</v>
      </c>
      <c r="C1" t="s">
        <v>173</v>
      </c>
      <c r="D1" t="s">
        <v>174</v>
      </c>
      <c r="E1" t="s">
        <v>175</v>
      </c>
      <c r="F1" t="s">
        <v>176</v>
      </c>
      <c r="G1" t="s">
        <v>166</v>
      </c>
    </row>
    <row r="2" spans="1:14">
      <c r="A2" t="s">
        <v>167</v>
      </c>
      <c r="B2">
        <v>1</v>
      </c>
      <c r="D2">
        <v>49</v>
      </c>
      <c r="F2">
        <v>12</v>
      </c>
    </row>
    <row r="3" spans="1:14">
      <c r="A3" t="s">
        <v>169</v>
      </c>
      <c r="B3">
        <v>1</v>
      </c>
      <c r="E3">
        <v>33</v>
      </c>
      <c r="G3">
        <v>7</v>
      </c>
    </row>
    <row r="4" spans="1:14">
      <c r="A4" t="s">
        <v>171</v>
      </c>
      <c r="B4">
        <v>1</v>
      </c>
      <c r="C4">
        <v>165</v>
      </c>
    </row>
    <row r="5" spans="1:14">
      <c r="A5" t="s">
        <v>55</v>
      </c>
      <c r="B5">
        <v>2</v>
      </c>
      <c r="D5">
        <v>79</v>
      </c>
      <c r="F5">
        <v>14</v>
      </c>
      <c r="M5" t="s">
        <v>164</v>
      </c>
      <c r="N5">
        <v>5</v>
      </c>
    </row>
    <row r="6" spans="1:14">
      <c r="A6" t="s">
        <v>56</v>
      </c>
      <c r="B6">
        <v>2</v>
      </c>
      <c r="E6">
        <v>55</v>
      </c>
      <c r="G6">
        <v>9</v>
      </c>
    </row>
    <row r="7" spans="1:14">
      <c r="A7" t="s">
        <v>57</v>
      </c>
      <c r="B7">
        <v>2</v>
      </c>
      <c r="C7">
        <v>277</v>
      </c>
    </row>
    <row r="8" spans="1:14">
      <c r="A8" t="s">
        <v>58</v>
      </c>
      <c r="B8">
        <v>3</v>
      </c>
      <c r="D8">
        <v>109</v>
      </c>
      <c r="F8">
        <v>17</v>
      </c>
    </row>
    <row r="9" spans="1:14">
      <c r="A9" t="s">
        <v>59</v>
      </c>
      <c r="B9">
        <v>3</v>
      </c>
      <c r="E9">
        <v>78</v>
      </c>
      <c r="G9">
        <v>12</v>
      </c>
    </row>
    <row r="10" spans="1:14">
      <c r="A10" t="s">
        <v>60</v>
      </c>
      <c r="B10">
        <v>3</v>
      </c>
      <c r="C10">
        <v>390</v>
      </c>
    </row>
    <row r="11" spans="1:14">
      <c r="A11" t="s">
        <v>61</v>
      </c>
      <c r="B11">
        <v>4</v>
      </c>
      <c r="D11">
        <v>139</v>
      </c>
      <c r="F11">
        <v>19</v>
      </c>
    </row>
    <row r="12" spans="1:14">
      <c r="A12" t="s">
        <v>62</v>
      </c>
      <c r="B12">
        <v>4</v>
      </c>
      <c r="E12">
        <v>100</v>
      </c>
      <c r="G12">
        <v>14</v>
      </c>
    </row>
    <row r="13" spans="1:14">
      <c r="A13" t="s">
        <v>63</v>
      </c>
      <c r="B13">
        <v>4</v>
      </c>
      <c r="C13">
        <v>502</v>
      </c>
    </row>
    <row r="14" spans="1:14">
      <c r="A14" t="s">
        <v>64</v>
      </c>
      <c r="B14">
        <v>5</v>
      </c>
      <c r="D14">
        <v>169</v>
      </c>
      <c r="F14">
        <v>22</v>
      </c>
    </row>
    <row r="15" spans="1:14">
      <c r="A15" t="s">
        <v>65</v>
      </c>
      <c r="B15">
        <v>5</v>
      </c>
      <c r="E15">
        <v>123</v>
      </c>
      <c r="G15">
        <v>17</v>
      </c>
    </row>
    <row r="16" spans="1:14">
      <c r="A16" t="s">
        <v>66</v>
      </c>
      <c r="B16">
        <v>5</v>
      </c>
      <c r="C16">
        <v>615</v>
      </c>
    </row>
  </sheetData>
  <phoneticPr fontId="1" type="noConversion"/>
  <pageMargins left="0.7" right="0.7" top="0.75" bottom="0.75" header="0.3" footer="0.3"/>
  <legacyDrawing r:id="rId1"/>
  <controls>
    <control shapeId="11265" r:id="rId2" name="CommandButton1"/>
  </controls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N16"/>
  <sheetViews>
    <sheetView workbookViewId="0">
      <selection activeCell="M13" sqref="M13"/>
    </sheetView>
  </sheetViews>
  <sheetFormatPr defaultRowHeight="13.5"/>
  <cols>
    <col min="13" max="13" width="13.75" customWidth="1"/>
    <col min="14" max="14" width="11.25" customWidth="1"/>
    <col min="15" max="15" width="12.5" customWidth="1"/>
  </cols>
  <sheetData>
    <row r="1" spans="1:14">
      <c r="A1" t="s">
        <v>165</v>
      </c>
      <c r="B1" t="s">
        <v>138</v>
      </c>
      <c r="C1" t="s">
        <v>173</v>
      </c>
      <c r="D1" t="s">
        <v>174</v>
      </c>
      <c r="E1" t="s">
        <v>175</v>
      </c>
      <c r="F1" t="s">
        <v>176</v>
      </c>
      <c r="G1" t="s">
        <v>166</v>
      </c>
    </row>
    <row r="2" spans="1:14">
      <c r="A2" t="s">
        <v>168</v>
      </c>
      <c r="B2">
        <v>1</v>
      </c>
      <c r="D2">
        <v>66</v>
      </c>
      <c r="F2">
        <v>14</v>
      </c>
    </row>
    <row r="3" spans="1:14">
      <c r="A3" t="s">
        <v>170</v>
      </c>
      <c r="B3">
        <v>1</v>
      </c>
      <c r="E3">
        <v>22</v>
      </c>
      <c r="G3">
        <v>10</v>
      </c>
    </row>
    <row r="4" spans="1:14">
      <c r="A4" t="s">
        <v>172</v>
      </c>
      <c r="B4">
        <v>1</v>
      </c>
      <c r="C4">
        <v>90</v>
      </c>
    </row>
    <row r="5" spans="1:14">
      <c r="A5" t="s">
        <v>55</v>
      </c>
      <c r="B5">
        <v>2</v>
      </c>
      <c r="D5">
        <v>111</v>
      </c>
      <c r="F5">
        <v>19</v>
      </c>
      <c r="M5" t="s">
        <v>164</v>
      </c>
      <c r="N5">
        <v>5</v>
      </c>
    </row>
    <row r="6" spans="1:14">
      <c r="A6" t="s">
        <v>56</v>
      </c>
      <c r="B6">
        <v>2</v>
      </c>
      <c r="E6">
        <v>37</v>
      </c>
      <c r="G6">
        <v>14</v>
      </c>
    </row>
    <row r="7" spans="1:14">
      <c r="A7" t="s">
        <v>57</v>
      </c>
      <c r="B7">
        <v>2</v>
      </c>
      <c r="C7">
        <v>140</v>
      </c>
    </row>
    <row r="8" spans="1:14">
      <c r="A8" t="s">
        <v>58</v>
      </c>
      <c r="B8">
        <v>3</v>
      </c>
      <c r="D8">
        <v>156</v>
      </c>
      <c r="F8">
        <v>24</v>
      </c>
    </row>
    <row r="9" spans="1:14">
      <c r="A9" t="s">
        <v>59</v>
      </c>
      <c r="B9">
        <v>3</v>
      </c>
      <c r="E9">
        <v>52</v>
      </c>
      <c r="G9">
        <v>18</v>
      </c>
    </row>
    <row r="10" spans="1:14">
      <c r="A10" t="s">
        <v>60</v>
      </c>
      <c r="B10">
        <v>3</v>
      </c>
      <c r="C10">
        <v>190</v>
      </c>
    </row>
    <row r="11" spans="1:14">
      <c r="A11" t="s">
        <v>61</v>
      </c>
      <c r="B11">
        <v>4</v>
      </c>
      <c r="D11">
        <v>201</v>
      </c>
      <c r="F11">
        <v>29</v>
      </c>
    </row>
    <row r="12" spans="1:14">
      <c r="A12" t="s">
        <v>62</v>
      </c>
      <c r="B12">
        <v>4</v>
      </c>
      <c r="E12">
        <v>67</v>
      </c>
      <c r="G12">
        <v>21</v>
      </c>
    </row>
    <row r="13" spans="1:14">
      <c r="A13" t="s">
        <v>63</v>
      </c>
      <c r="B13">
        <v>4</v>
      </c>
      <c r="C13">
        <v>240</v>
      </c>
    </row>
    <row r="14" spans="1:14">
      <c r="A14" t="s">
        <v>64</v>
      </c>
      <c r="B14">
        <v>5</v>
      </c>
      <c r="D14">
        <v>246</v>
      </c>
      <c r="F14">
        <v>34</v>
      </c>
    </row>
    <row r="15" spans="1:14">
      <c r="A15" t="s">
        <v>65</v>
      </c>
      <c r="B15">
        <v>5</v>
      </c>
      <c r="E15">
        <v>82</v>
      </c>
      <c r="G15">
        <v>25</v>
      </c>
    </row>
    <row r="16" spans="1:14">
      <c r="A16" t="s">
        <v>66</v>
      </c>
      <c r="B16">
        <v>5</v>
      </c>
      <c r="C16">
        <v>290</v>
      </c>
    </row>
  </sheetData>
  <phoneticPr fontId="1" type="noConversion"/>
  <pageMargins left="0.7" right="0.7" top="0.75" bottom="0.75" header="0.3" footer="0.3"/>
  <legacyDrawing r:id="rId1"/>
  <controls>
    <control shapeId="12290" r:id="rId2" name="CommandButton1"/>
  </controls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N16"/>
  <sheetViews>
    <sheetView workbookViewId="0">
      <selection activeCell="O5" sqref="O5"/>
    </sheetView>
  </sheetViews>
  <sheetFormatPr defaultRowHeight="13.5"/>
  <cols>
    <col min="13" max="13" width="14.125" customWidth="1"/>
    <col min="14" max="14" width="10.375" customWidth="1"/>
    <col min="15" max="15" width="11.375" customWidth="1"/>
  </cols>
  <sheetData>
    <row r="1" spans="1:14">
      <c r="A1" t="s">
        <v>30</v>
      </c>
      <c r="B1" t="s">
        <v>138</v>
      </c>
      <c r="C1" t="s">
        <v>173</v>
      </c>
      <c r="D1" t="s">
        <v>174</v>
      </c>
      <c r="E1" t="s">
        <v>175</v>
      </c>
      <c r="F1" t="s">
        <v>176</v>
      </c>
      <c r="G1" t="s">
        <v>166</v>
      </c>
    </row>
    <row r="2" spans="1:14">
      <c r="A2" t="s">
        <v>168</v>
      </c>
      <c r="B2">
        <v>1</v>
      </c>
      <c r="D2">
        <v>14</v>
      </c>
      <c r="F2">
        <v>66</v>
      </c>
    </row>
    <row r="3" spans="1:14">
      <c r="A3" t="s">
        <v>170</v>
      </c>
      <c r="B3">
        <v>1</v>
      </c>
      <c r="E3">
        <v>7</v>
      </c>
      <c r="G3">
        <v>27</v>
      </c>
    </row>
    <row r="4" spans="1:14">
      <c r="A4" t="s">
        <v>172</v>
      </c>
      <c r="B4">
        <v>1</v>
      </c>
      <c r="C4">
        <v>67</v>
      </c>
    </row>
    <row r="5" spans="1:14">
      <c r="A5" t="s">
        <v>55</v>
      </c>
      <c r="B5">
        <v>2</v>
      </c>
      <c r="D5">
        <v>19</v>
      </c>
      <c r="F5">
        <v>111</v>
      </c>
      <c r="M5" t="s">
        <v>164</v>
      </c>
      <c r="N5">
        <v>5</v>
      </c>
    </row>
    <row r="6" spans="1:14">
      <c r="A6" t="s">
        <v>56</v>
      </c>
      <c r="B6">
        <v>2</v>
      </c>
      <c r="E6">
        <v>9</v>
      </c>
      <c r="G6">
        <v>46</v>
      </c>
    </row>
    <row r="7" spans="1:14">
      <c r="A7" t="s">
        <v>57</v>
      </c>
      <c r="B7">
        <v>2</v>
      </c>
      <c r="C7">
        <v>105</v>
      </c>
    </row>
    <row r="8" spans="1:14">
      <c r="A8" t="s">
        <v>58</v>
      </c>
      <c r="B8">
        <v>3</v>
      </c>
      <c r="D8">
        <v>24</v>
      </c>
      <c r="F8">
        <v>156</v>
      </c>
    </row>
    <row r="9" spans="1:14">
      <c r="A9" t="s">
        <v>59</v>
      </c>
      <c r="B9">
        <v>3</v>
      </c>
      <c r="E9">
        <v>12</v>
      </c>
      <c r="G9">
        <v>65</v>
      </c>
    </row>
    <row r="10" spans="1:14">
      <c r="A10" t="s">
        <v>60</v>
      </c>
      <c r="B10">
        <v>3</v>
      </c>
      <c r="C10">
        <v>142</v>
      </c>
    </row>
    <row r="11" spans="1:14">
      <c r="A11" t="s">
        <v>61</v>
      </c>
      <c r="B11">
        <v>4</v>
      </c>
      <c r="D11">
        <v>29</v>
      </c>
      <c r="F11">
        <v>201</v>
      </c>
    </row>
    <row r="12" spans="1:14">
      <c r="A12" t="s">
        <v>62</v>
      </c>
      <c r="B12">
        <v>4</v>
      </c>
      <c r="E12">
        <v>14</v>
      </c>
      <c r="G12">
        <v>83</v>
      </c>
    </row>
    <row r="13" spans="1:14">
      <c r="A13" t="s">
        <v>63</v>
      </c>
      <c r="B13">
        <v>4</v>
      </c>
      <c r="C13">
        <v>180</v>
      </c>
    </row>
    <row r="14" spans="1:14">
      <c r="A14" t="s">
        <v>64</v>
      </c>
      <c r="B14">
        <v>5</v>
      </c>
      <c r="D14">
        <v>34</v>
      </c>
      <c r="F14">
        <v>246</v>
      </c>
    </row>
    <row r="15" spans="1:14">
      <c r="A15" t="s">
        <v>65</v>
      </c>
      <c r="B15">
        <v>5</v>
      </c>
      <c r="E15">
        <v>17</v>
      </c>
      <c r="G15">
        <v>102</v>
      </c>
    </row>
    <row r="16" spans="1:14">
      <c r="A16" t="s">
        <v>66</v>
      </c>
      <c r="B16">
        <v>5</v>
      </c>
      <c r="C16">
        <v>217</v>
      </c>
    </row>
  </sheetData>
  <phoneticPr fontId="1" type="noConversion"/>
  <pageMargins left="0.7" right="0.7" top="0.75" bottom="0.75" header="0.3" footer="0.3"/>
  <legacyDrawing r:id="rId1"/>
  <controls>
    <control shapeId="13314" r:id="rId2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登录界面</vt:lpstr>
      <vt:lpstr>战斗界面</vt:lpstr>
      <vt:lpstr>地图和怪物数值</vt:lpstr>
      <vt:lpstr>人物属性</vt:lpstr>
      <vt:lpstr>装备属性</vt:lpstr>
      <vt:lpstr>经验表</vt:lpstr>
      <vt:lpstr>装备生成表</vt:lpstr>
      <vt:lpstr>平衡</vt:lpstr>
      <vt:lpstr>战士</vt:lpstr>
      <vt:lpstr>弓箭</vt:lpstr>
      <vt:lpstr>法师</vt:lpstr>
      <vt:lpstr>战士装备</vt:lpstr>
      <vt:lpstr>弓箭装备</vt:lpstr>
      <vt:lpstr>法师装备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2013-12-16T09:35:02Z</dcterms:modified>
</cp:coreProperties>
</file>