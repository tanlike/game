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90" windowWidth="19200" windowHeight="11640" activeTab="1"/>
  </bookViews>
  <sheets>
    <sheet name="登录界面" sheetId="1" r:id="rId1"/>
    <sheet name="战斗界面" sheetId="2" r:id="rId2"/>
    <sheet name="地图和怪物数值" sheetId="3" r:id="rId3"/>
    <sheet name="人物属性" sheetId="4" r:id="rId4"/>
    <sheet name="装备属性" sheetId="5" r:id="rId5"/>
    <sheet name="经验表" sheetId="6" r:id="rId6"/>
    <sheet name="装备生成表" sheetId="7" r:id="rId7"/>
  </sheets>
  <definedNames>
    <definedName name="_xlnm._FilterDatabase" localSheetId="1" hidden="1">战斗界面!$A$30:$F$30</definedName>
  </definedNames>
  <calcPr calcId="152511"/>
</workbook>
</file>

<file path=xl/calcChain.xml><?xml version="1.0" encoding="utf-8"?>
<calcChain xmlns="http://schemas.openxmlformats.org/spreadsheetml/2006/main">
  <c r="P38" i="4" l="1"/>
  <c r="P39" i="4"/>
  <c r="P40" i="4"/>
  <c r="P41" i="4"/>
  <c r="P42" i="4"/>
  <c r="P43" i="4"/>
  <c r="P44" i="4"/>
  <c r="P45" i="4"/>
  <c r="P46" i="4"/>
  <c r="F4" i="6" l="1"/>
  <c r="F5" i="6" s="1"/>
  <c r="F6" i="6" s="1"/>
  <c r="F7" i="6" s="1"/>
  <c r="F8" i="6" s="1"/>
  <c r="F9" i="6" s="1"/>
  <c r="F10" i="6" s="1"/>
  <c r="F11" i="6" s="1"/>
  <c r="F12" i="6" s="1"/>
  <c r="F13" i="6" s="1"/>
  <c r="F14" i="6" s="1"/>
  <c r="F15" i="6" s="1"/>
  <c r="F16" i="6" s="1"/>
  <c r="F17" i="6" s="1"/>
  <c r="F18" i="6" s="1"/>
  <c r="F19" i="6" s="1"/>
  <c r="F20" i="6" s="1"/>
  <c r="F21" i="6" s="1"/>
  <c r="F22" i="6" s="1"/>
  <c r="F23" i="6" s="1"/>
  <c r="F24" i="6" s="1"/>
  <c r="F25" i="6" s="1"/>
  <c r="F26" i="6" s="1"/>
  <c r="F27" i="6" s="1"/>
  <c r="F28" i="6" s="1"/>
  <c r="F29" i="6" s="1"/>
  <c r="F30" i="6" s="1"/>
  <c r="F31" i="6" s="1"/>
  <c r="F32" i="6" s="1"/>
  <c r="F33" i="6" s="1"/>
  <c r="F34" i="6" s="1"/>
  <c r="F35" i="6" s="1"/>
  <c r="F36" i="6" s="1"/>
  <c r="F37" i="6" s="1"/>
  <c r="F38" i="6" s="1"/>
  <c r="F39" i="6" s="1"/>
  <c r="F40" i="6" s="1"/>
  <c r="F41" i="6" s="1"/>
  <c r="F42" i="6" s="1"/>
  <c r="F43" i="6" s="1"/>
  <c r="F44" i="6" s="1"/>
  <c r="F45" i="6" s="1"/>
  <c r="F46" i="6" s="1"/>
  <c r="F47" i="6" s="1"/>
  <c r="F48" i="6" s="1"/>
  <c r="F49" i="6" s="1"/>
  <c r="F50" i="6" s="1"/>
  <c r="F51" i="6" s="1"/>
  <c r="F3" i="6"/>
  <c r="B3" i="6" l="1"/>
  <c r="G3" i="6" s="1"/>
  <c r="B4" i="6"/>
  <c r="G4" i="6" s="1"/>
  <c r="B5" i="6"/>
  <c r="G5" i="6" s="1"/>
  <c r="B6" i="6"/>
  <c r="G6" i="6" s="1"/>
  <c r="B7" i="6"/>
  <c r="G7" i="6" s="1"/>
  <c r="B8" i="6"/>
  <c r="G8" i="6" s="1"/>
  <c r="B9" i="6"/>
  <c r="G9" i="6" s="1"/>
  <c r="B10" i="6"/>
  <c r="G10" i="6" s="1"/>
  <c r="B11" i="6"/>
  <c r="G11" i="6" s="1"/>
  <c r="B12" i="6"/>
  <c r="G12" i="6" s="1"/>
  <c r="O18" i="3" s="1"/>
  <c r="B13" i="6"/>
  <c r="G13" i="6" s="1"/>
  <c r="B14" i="6"/>
  <c r="G14" i="6" s="1"/>
  <c r="B15" i="6"/>
  <c r="G15" i="6" s="1"/>
  <c r="B16" i="6"/>
  <c r="G16" i="6" s="1"/>
  <c r="B17" i="6"/>
  <c r="G17" i="6" s="1"/>
  <c r="B18" i="6"/>
  <c r="G18" i="6" s="1"/>
  <c r="B19" i="6"/>
  <c r="G19" i="6" s="1"/>
  <c r="B20" i="6"/>
  <c r="G20" i="6" s="1"/>
  <c r="B21" i="6"/>
  <c r="G21" i="6" s="1"/>
  <c r="B22" i="6"/>
  <c r="G22" i="6" s="1"/>
  <c r="B23" i="6"/>
  <c r="G23" i="6" s="1"/>
  <c r="B24" i="6"/>
  <c r="G24" i="6" s="1"/>
  <c r="B25" i="6"/>
  <c r="G25" i="6" s="1"/>
  <c r="B26" i="6"/>
  <c r="G26" i="6" s="1"/>
  <c r="B27" i="6"/>
  <c r="G27" i="6" s="1"/>
  <c r="B28" i="6"/>
  <c r="G28" i="6" s="1"/>
  <c r="B29" i="6"/>
  <c r="G29" i="6" s="1"/>
  <c r="B30" i="6"/>
  <c r="G30" i="6" s="1"/>
  <c r="B31" i="6"/>
  <c r="G31" i="6" s="1"/>
  <c r="B32" i="6"/>
  <c r="G32" i="6" s="1"/>
  <c r="B33" i="6"/>
  <c r="G33" i="6" s="1"/>
  <c r="B34" i="6"/>
  <c r="G34" i="6" s="1"/>
  <c r="B35" i="6"/>
  <c r="G35" i="6" s="1"/>
  <c r="B36" i="6"/>
  <c r="G36" i="6" s="1"/>
  <c r="B37" i="6"/>
  <c r="G37" i="6" s="1"/>
  <c r="B38" i="6"/>
  <c r="G38" i="6" s="1"/>
  <c r="B39" i="6"/>
  <c r="G39" i="6" s="1"/>
  <c r="B40" i="6"/>
  <c r="G40" i="6" s="1"/>
  <c r="B41" i="6"/>
  <c r="G41" i="6" s="1"/>
  <c r="B42" i="6"/>
  <c r="G42" i="6" s="1"/>
  <c r="B43" i="6"/>
  <c r="G43" i="6" s="1"/>
  <c r="B44" i="6"/>
  <c r="G44" i="6" s="1"/>
  <c r="B45" i="6"/>
  <c r="G45" i="6" s="1"/>
  <c r="B46" i="6"/>
  <c r="G46" i="6" s="1"/>
  <c r="B47" i="6"/>
  <c r="G47" i="6" s="1"/>
  <c r="B48" i="6"/>
  <c r="G48" i="6" s="1"/>
  <c r="B49" i="6"/>
  <c r="G49" i="6" s="1"/>
  <c r="B50" i="6"/>
  <c r="G50" i="6" s="1"/>
  <c r="B51" i="6"/>
  <c r="G51" i="6" s="1"/>
  <c r="B2" i="6"/>
  <c r="G2" i="6" s="1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2" i="6"/>
  <c r="O14" i="3"/>
  <c r="O17" i="3"/>
  <c r="O16" i="3"/>
  <c r="O15" i="3"/>
  <c r="O13" i="3"/>
  <c r="O12" i="3"/>
  <c r="O11" i="3"/>
  <c r="O10" i="3"/>
  <c r="O9" i="3"/>
  <c r="O8" i="3"/>
  <c r="G5" i="2"/>
  <c r="W8" i="4"/>
  <c r="W22" i="4" s="1"/>
  <c r="M9" i="4"/>
  <c r="R9" i="4" s="1"/>
  <c r="S9" i="4" s="1"/>
  <c r="Y8" i="4"/>
  <c r="Y22" i="4" s="1"/>
  <c r="X8" i="4"/>
  <c r="X22" i="4" s="1"/>
  <c r="C29" i="5"/>
  <c r="B36" i="5"/>
  <c r="B23" i="5"/>
  <c r="C36" i="5"/>
  <c r="E32" i="5"/>
  <c r="D32" i="5"/>
  <c r="C32" i="5"/>
  <c r="B32" i="5"/>
  <c r="E31" i="5"/>
  <c r="D31" i="5"/>
  <c r="C31" i="5"/>
  <c r="B31" i="5"/>
  <c r="E30" i="5"/>
  <c r="D30" i="5"/>
  <c r="C30" i="5"/>
  <c r="B30" i="5"/>
  <c r="B29" i="5"/>
  <c r="E29" i="5"/>
  <c r="E36" i="5" s="1"/>
  <c r="D29" i="5"/>
  <c r="D36" i="5" s="1"/>
  <c r="K28" i="5"/>
  <c r="J28" i="5"/>
  <c r="J32" i="5" s="1"/>
  <c r="I28" i="5"/>
  <c r="H28" i="5"/>
  <c r="H32" i="5" s="1"/>
  <c r="G28" i="5"/>
  <c r="F28" i="5"/>
  <c r="F32" i="5" s="1"/>
  <c r="L28" i="5"/>
  <c r="L32" i="5" s="1"/>
  <c r="M28" i="5"/>
  <c r="N28" i="5"/>
  <c r="N32" i="5" s="1"/>
  <c r="T23" i="5"/>
  <c r="R23" i="5"/>
  <c r="M23" i="5"/>
  <c r="K23" i="5"/>
  <c r="P7" i="5"/>
  <c r="P19" i="5" s="1"/>
  <c r="T6" i="5"/>
  <c r="T19" i="5" s="1"/>
  <c r="R6" i="5"/>
  <c r="R18" i="5" s="1"/>
  <c r="S5" i="5"/>
  <c r="S17" i="5" s="1"/>
  <c r="Q5" i="5"/>
  <c r="Q17" i="5" s="1"/>
  <c r="I7" i="5"/>
  <c r="I16" i="5" s="1"/>
  <c r="M6" i="5"/>
  <c r="M15" i="5" s="1"/>
  <c r="K6" i="5"/>
  <c r="K15" i="5" s="1"/>
  <c r="J5" i="5"/>
  <c r="J14" i="5" s="1"/>
  <c r="L5" i="5"/>
  <c r="L14" i="5" s="1"/>
  <c r="B7" i="5"/>
  <c r="B19" i="5" s="1"/>
  <c r="F6" i="5"/>
  <c r="F23" i="5" s="1"/>
  <c r="D6" i="5"/>
  <c r="D9" i="5" s="1"/>
  <c r="E5" i="5"/>
  <c r="C5" i="5"/>
  <c r="C17" i="5" s="1"/>
  <c r="T27" i="4"/>
  <c r="T28" i="4"/>
  <c r="T29" i="4"/>
  <c r="T30" i="4"/>
  <c r="T31" i="4"/>
  <c r="T32" i="4"/>
  <c r="T33" i="4"/>
  <c r="T34" i="4"/>
  <c r="T26" i="4"/>
  <c r="S27" i="4"/>
  <c r="S28" i="4"/>
  <c r="S29" i="4"/>
  <c r="S30" i="4"/>
  <c r="S31" i="4"/>
  <c r="S32" i="4"/>
  <c r="S33" i="4"/>
  <c r="S34" i="4"/>
  <c r="S26" i="4"/>
  <c r="R27" i="4"/>
  <c r="R28" i="4"/>
  <c r="R29" i="4"/>
  <c r="R30" i="4"/>
  <c r="R31" i="4"/>
  <c r="R32" i="4"/>
  <c r="R33" i="4"/>
  <c r="R34" i="4"/>
  <c r="R26" i="4"/>
  <c r="D23" i="5" l="1"/>
  <c r="M12" i="4"/>
  <c r="M20" i="4" s="1"/>
  <c r="M11" i="4"/>
  <c r="M13" i="4"/>
  <c r="M17" i="4" s="1"/>
  <c r="M10" i="4"/>
  <c r="M14" i="4" s="1"/>
  <c r="Y9" i="4"/>
  <c r="Y11" i="4"/>
  <c r="Y13" i="4"/>
  <c r="Y15" i="4"/>
  <c r="Y17" i="4"/>
  <c r="Y19" i="4"/>
  <c r="Y21" i="4"/>
  <c r="Y10" i="4"/>
  <c r="Y12" i="4"/>
  <c r="Y14" i="4"/>
  <c r="Y16" i="4"/>
  <c r="Y18" i="4"/>
  <c r="Y20" i="4"/>
  <c r="X9" i="4"/>
  <c r="X11" i="4"/>
  <c r="X13" i="4"/>
  <c r="X15" i="4"/>
  <c r="X17" i="4"/>
  <c r="X19" i="4"/>
  <c r="X21" i="4"/>
  <c r="T22" i="4"/>
  <c r="X10" i="4"/>
  <c r="X12" i="4"/>
  <c r="X14" i="4"/>
  <c r="X16" i="4"/>
  <c r="X18" i="4"/>
  <c r="X20" i="4"/>
  <c r="W9" i="4"/>
  <c r="W11" i="4"/>
  <c r="W13" i="4"/>
  <c r="W15" i="4"/>
  <c r="W17" i="4"/>
  <c r="W19" i="4"/>
  <c r="W21" i="4"/>
  <c r="W10" i="4"/>
  <c r="W12" i="4"/>
  <c r="W14" i="4"/>
  <c r="W16" i="4"/>
  <c r="W18" i="4"/>
  <c r="W20" i="4"/>
  <c r="S22" i="4"/>
  <c r="R22" i="4"/>
  <c r="T9" i="4"/>
  <c r="Q23" i="5"/>
  <c r="S23" i="5"/>
  <c r="M18" i="5"/>
  <c r="P10" i="5"/>
  <c r="P23" i="5" s="1"/>
  <c r="J17" i="5"/>
  <c r="C8" i="5"/>
  <c r="B10" i="5"/>
  <c r="C11" i="5"/>
  <c r="D15" i="5"/>
  <c r="J11" i="5"/>
  <c r="M12" i="5"/>
  <c r="P16" i="5"/>
  <c r="Q14" i="5"/>
  <c r="R15" i="5"/>
  <c r="F29" i="5"/>
  <c r="H29" i="5"/>
  <c r="H36" i="5" s="1"/>
  <c r="J29" i="5"/>
  <c r="J36" i="5" s="1"/>
  <c r="L29" i="5"/>
  <c r="N29" i="5"/>
  <c r="G30" i="5"/>
  <c r="I30" i="5"/>
  <c r="K30" i="5"/>
  <c r="M30" i="5"/>
  <c r="F31" i="5"/>
  <c r="H31" i="5"/>
  <c r="J31" i="5"/>
  <c r="L31" i="5"/>
  <c r="N31" i="5"/>
  <c r="G32" i="5"/>
  <c r="I32" i="5"/>
  <c r="K32" i="5"/>
  <c r="M32" i="5"/>
  <c r="F36" i="5"/>
  <c r="L36" i="5"/>
  <c r="N36" i="5"/>
  <c r="B16" i="5"/>
  <c r="Q8" i="5"/>
  <c r="R9" i="5"/>
  <c r="J23" i="5"/>
  <c r="G29" i="5"/>
  <c r="G36" i="5" s="1"/>
  <c r="I29" i="5"/>
  <c r="I36" i="5" s="1"/>
  <c r="K29" i="5"/>
  <c r="K36" i="5" s="1"/>
  <c r="M29" i="5"/>
  <c r="M36" i="5" s="1"/>
  <c r="F30" i="5"/>
  <c r="H30" i="5"/>
  <c r="J30" i="5"/>
  <c r="L30" i="5"/>
  <c r="N30" i="5"/>
  <c r="G31" i="5"/>
  <c r="I31" i="5"/>
  <c r="K31" i="5"/>
  <c r="M31" i="5"/>
  <c r="E11" i="5"/>
  <c r="E17" i="5"/>
  <c r="F15" i="5"/>
  <c r="I13" i="5"/>
  <c r="I19" i="5"/>
  <c r="K12" i="5"/>
  <c r="K18" i="5"/>
  <c r="L11" i="5"/>
  <c r="L17" i="5"/>
  <c r="S8" i="5"/>
  <c r="S14" i="5"/>
  <c r="T9" i="5"/>
  <c r="T16" i="5"/>
  <c r="L23" i="5"/>
  <c r="E8" i="5"/>
  <c r="F9" i="5"/>
  <c r="B13" i="5"/>
  <c r="C14" i="5"/>
  <c r="D12" i="5"/>
  <c r="D18" i="5"/>
  <c r="E14" i="5"/>
  <c r="F12" i="5"/>
  <c r="F18" i="5"/>
  <c r="I10" i="5"/>
  <c r="I23" i="5" s="1"/>
  <c r="J8" i="5"/>
  <c r="K9" i="5"/>
  <c r="L8" i="5"/>
  <c r="M9" i="5"/>
  <c r="P13" i="5"/>
  <c r="Q11" i="5"/>
  <c r="R12" i="5"/>
  <c r="S11" i="5"/>
  <c r="T13" i="5"/>
  <c r="C23" i="5"/>
  <c r="E23" i="5"/>
  <c r="M22" i="4"/>
  <c r="M21" i="4"/>
  <c r="O9" i="4"/>
  <c r="N9" i="4"/>
  <c r="M16" i="4" l="1"/>
  <c r="M19" i="4"/>
  <c r="M18" i="4"/>
  <c r="M15" i="4"/>
  <c r="F14" i="2"/>
  <c r="R13" i="4"/>
  <c r="R17" i="4" s="1"/>
  <c r="R12" i="4"/>
  <c r="R21" i="4" s="1"/>
  <c r="R10" i="4"/>
  <c r="R14" i="4" s="1"/>
  <c r="R11" i="4"/>
  <c r="O12" i="4"/>
  <c r="T12" i="4" s="1"/>
  <c r="O10" i="4"/>
  <c r="T10" i="4" s="1"/>
  <c r="O13" i="4"/>
  <c r="T13" i="4" s="1"/>
  <c r="T17" i="4" s="1"/>
  <c r="O11" i="4"/>
  <c r="T11" i="4" s="1"/>
  <c r="N12" i="4"/>
  <c r="S12" i="4" s="1"/>
  <c r="N10" i="4"/>
  <c r="S10" i="4" s="1"/>
  <c r="N13" i="4"/>
  <c r="S13" i="4" s="1"/>
  <c r="S17" i="4" s="1"/>
  <c r="N11" i="4"/>
  <c r="S11" i="4" s="1"/>
  <c r="F8" i="2" l="1"/>
  <c r="D12" i="2"/>
  <c r="D9" i="2"/>
  <c r="R18" i="4"/>
  <c r="R20" i="4"/>
  <c r="R15" i="4"/>
  <c r="R16" i="4"/>
  <c r="R19" i="4"/>
  <c r="F9" i="2"/>
  <c r="S21" i="4"/>
  <c r="S20" i="4"/>
  <c r="S19" i="4"/>
  <c r="T15" i="4"/>
  <c r="T20" i="4"/>
  <c r="T19" i="4"/>
  <c r="T21" i="4"/>
  <c r="S16" i="4"/>
  <c r="S18" i="4"/>
  <c r="S15" i="4"/>
  <c r="T16" i="4"/>
  <c r="T14" i="4"/>
  <c r="T18" i="4"/>
  <c r="S14" i="4"/>
  <c r="D8" i="2"/>
  <c r="N15" i="4"/>
  <c r="O15" i="4"/>
  <c r="N17" i="4"/>
  <c r="N22" i="4"/>
  <c r="O17" i="4"/>
  <c r="O22" i="4"/>
  <c r="O18" i="4"/>
  <c r="O16" i="4"/>
  <c r="O14" i="4"/>
  <c r="N21" i="4"/>
  <c r="N19" i="4"/>
  <c r="N20" i="4"/>
  <c r="O20" i="4"/>
  <c r="O21" i="4"/>
  <c r="O19" i="4"/>
  <c r="N16" i="4"/>
  <c r="N14" i="4"/>
  <c r="N18" i="4"/>
  <c r="D10" i="2" l="1"/>
  <c r="F11" i="2"/>
  <c r="F13" i="2"/>
  <c r="F12" i="2"/>
  <c r="D13" i="2"/>
  <c r="D14" i="2"/>
  <c r="D11" i="2"/>
</calcChain>
</file>

<file path=xl/sharedStrings.xml><?xml version="1.0" encoding="utf-8"?>
<sst xmlns="http://schemas.openxmlformats.org/spreadsheetml/2006/main" count="536" uniqueCount="170">
  <si>
    <t>职业</t>
  </si>
  <si>
    <t>职业</t>
    <phoneticPr fontId="1" type="noConversion"/>
  </si>
  <si>
    <t>战士</t>
  </si>
  <si>
    <t>战士</t>
    <phoneticPr fontId="1" type="noConversion"/>
  </si>
  <si>
    <t>弓箭</t>
  </si>
  <si>
    <t>弓箭</t>
    <phoneticPr fontId="1" type="noConversion"/>
  </si>
  <si>
    <t>法师</t>
  </si>
  <si>
    <t>法师</t>
    <phoneticPr fontId="1" type="noConversion"/>
  </si>
  <si>
    <t>体质</t>
  </si>
  <si>
    <t>体质</t>
    <phoneticPr fontId="1" type="noConversion"/>
  </si>
  <si>
    <t>力量</t>
  </si>
  <si>
    <t>力量</t>
    <phoneticPr fontId="1" type="noConversion"/>
  </si>
  <si>
    <t>敏捷</t>
  </si>
  <si>
    <t>敏捷</t>
    <phoneticPr fontId="1" type="noConversion"/>
  </si>
  <si>
    <t>智力</t>
  </si>
  <si>
    <t>智力</t>
    <phoneticPr fontId="1" type="noConversion"/>
  </si>
  <si>
    <t>总计</t>
    <phoneticPr fontId="1" type="noConversion"/>
  </si>
  <si>
    <t>角色初始属性：</t>
    <phoneticPr fontId="1" type="noConversion"/>
  </si>
  <si>
    <t>角色升级属性：</t>
    <phoneticPr fontId="1" type="noConversion"/>
  </si>
  <si>
    <t>总和</t>
  </si>
  <si>
    <t>属性点</t>
  </si>
  <si>
    <t>气血</t>
  </si>
  <si>
    <t>物攻</t>
  </si>
  <si>
    <t>物防</t>
  </si>
  <si>
    <t>法攻</t>
  </si>
  <si>
    <t>法防</t>
  </si>
  <si>
    <t>命中</t>
  </si>
  <si>
    <t>闪避</t>
  </si>
  <si>
    <t>暴击</t>
  </si>
  <si>
    <t>属性关系：</t>
    <phoneticPr fontId="1" type="noConversion"/>
  </si>
  <si>
    <t>等级</t>
    <phoneticPr fontId="1" type="noConversion"/>
  </si>
  <si>
    <t>角色属性：</t>
    <phoneticPr fontId="1" type="noConversion"/>
  </si>
  <si>
    <t>装备名</t>
    <phoneticPr fontId="1" type="noConversion"/>
  </si>
  <si>
    <t>1级武器</t>
    <phoneticPr fontId="1" type="noConversion"/>
  </si>
  <si>
    <t>1级防具</t>
    <phoneticPr fontId="1" type="noConversion"/>
  </si>
  <si>
    <t>1级宝物</t>
    <phoneticPr fontId="1" type="noConversion"/>
  </si>
  <si>
    <t>体质</t>
    <phoneticPr fontId="1" type="noConversion"/>
  </si>
  <si>
    <t>力量</t>
    <phoneticPr fontId="1" type="noConversion"/>
  </si>
  <si>
    <t>敏捷</t>
    <phoneticPr fontId="1" type="noConversion"/>
  </si>
  <si>
    <t>智力</t>
    <phoneticPr fontId="1" type="noConversion"/>
  </si>
  <si>
    <t>免暴</t>
    <phoneticPr fontId="1" type="noConversion"/>
  </si>
  <si>
    <t>怪物编号</t>
    <phoneticPr fontId="1" type="noConversion"/>
  </si>
  <si>
    <t>人物平均数值取1级时数值做基准</t>
    <phoneticPr fontId="1" type="noConversion"/>
  </si>
  <si>
    <t>攻击类型</t>
    <phoneticPr fontId="1" type="noConversion"/>
  </si>
  <si>
    <t>职业</t>
    <phoneticPr fontId="1" type="noConversion"/>
  </si>
  <si>
    <t>地图开放等级</t>
    <phoneticPr fontId="1" type="noConversion"/>
  </si>
  <si>
    <t>已开放地图</t>
    <phoneticPr fontId="1" type="noConversion"/>
  </si>
  <si>
    <t>地图名</t>
    <phoneticPr fontId="1" type="noConversion"/>
  </si>
  <si>
    <t>青青湾</t>
  </si>
  <si>
    <t>青青湾</t>
    <phoneticPr fontId="1" type="noConversion"/>
  </si>
  <si>
    <t>极热沙漠</t>
  </si>
  <si>
    <t>荒漠绿洲</t>
  </si>
  <si>
    <t>焚烧之地</t>
  </si>
  <si>
    <t>库拉斯溪谷</t>
  </si>
  <si>
    <t>人物等级</t>
    <phoneticPr fontId="1" type="noConversion"/>
  </si>
  <si>
    <t>升级经验</t>
    <phoneticPr fontId="1" type="noConversion"/>
  </si>
  <si>
    <t>怪物经验</t>
    <phoneticPr fontId="1" type="noConversion"/>
  </si>
  <si>
    <t>经验</t>
    <phoneticPr fontId="1" type="noConversion"/>
  </si>
  <si>
    <t>杀一只怪所需回合数</t>
    <phoneticPr fontId="1" type="noConversion"/>
  </si>
  <si>
    <t>杀同级升级所需怪物数</t>
    <phoneticPr fontId="1" type="noConversion"/>
  </si>
  <si>
    <t>怪物取人物数值20%</t>
    <phoneticPr fontId="1" type="noConversion"/>
  </si>
  <si>
    <t>2级武器</t>
  </si>
  <si>
    <t>2级防具</t>
  </si>
  <si>
    <t>2级宝物</t>
  </si>
  <si>
    <t>3级武器</t>
  </si>
  <si>
    <t>3级防具</t>
  </si>
  <si>
    <t>3级宝物</t>
  </si>
  <si>
    <t>4级武器</t>
  </si>
  <si>
    <t>4级防具</t>
  </si>
  <si>
    <t>4级宝物</t>
  </si>
  <si>
    <t>5级武器</t>
  </si>
  <si>
    <t>5级防具</t>
  </si>
  <si>
    <t>5级宝物</t>
  </si>
  <si>
    <t>装备取值1级时数值做基准</t>
    <phoneticPr fontId="1" type="noConversion"/>
  </si>
  <si>
    <t>职业初始属性：</t>
    <phoneticPr fontId="1" type="noConversion"/>
  </si>
  <si>
    <t>职业成长属性：</t>
    <phoneticPr fontId="1" type="noConversion"/>
  </si>
  <si>
    <t>属性点对应二级属性：</t>
    <phoneticPr fontId="1" type="noConversion"/>
  </si>
  <si>
    <t>战士</t>
    <phoneticPr fontId="1" type="noConversion"/>
  </si>
  <si>
    <t>战士：</t>
    <phoneticPr fontId="1" type="noConversion"/>
  </si>
  <si>
    <t>弓箭：</t>
    <phoneticPr fontId="1" type="noConversion"/>
  </si>
  <si>
    <t>法师：</t>
    <phoneticPr fontId="1" type="noConversion"/>
  </si>
  <si>
    <t>弓箭</t>
    <phoneticPr fontId="1" type="noConversion"/>
  </si>
  <si>
    <t>法师</t>
    <phoneticPr fontId="1" type="noConversion"/>
  </si>
  <si>
    <t>战士装备基础属性：</t>
    <phoneticPr fontId="1" type="noConversion"/>
  </si>
  <si>
    <t>弓箭装备基础属性：</t>
    <phoneticPr fontId="1" type="noConversion"/>
  </si>
  <si>
    <t>法师装备基础属性：</t>
    <phoneticPr fontId="1" type="noConversion"/>
  </si>
  <si>
    <t>装备随机属性</t>
    <phoneticPr fontId="1" type="noConversion"/>
  </si>
  <si>
    <t>力量</t>
    <phoneticPr fontId="1" type="noConversion"/>
  </si>
  <si>
    <t>体质</t>
    <phoneticPr fontId="1" type="noConversion"/>
  </si>
  <si>
    <t>敏捷</t>
    <phoneticPr fontId="1" type="noConversion"/>
  </si>
  <si>
    <t>智力</t>
    <phoneticPr fontId="1" type="noConversion"/>
  </si>
  <si>
    <t>等级</t>
    <phoneticPr fontId="1" type="noConversion"/>
  </si>
  <si>
    <t>平均值</t>
    <phoneticPr fontId="1" type="noConversion"/>
  </si>
  <si>
    <t>免暴</t>
    <phoneticPr fontId="1" type="noConversion"/>
  </si>
  <si>
    <t>无</t>
    <phoneticPr fontId="1" type="noConversion"/>
  </si>
  <si>
    <t>随机属性列表</t>
    <phoneticPr fontId="1" type="noConversion"/>
  </si>
  <si>
    <t>武器：</t>
    <phoneticPr fontId="1" type="noConversion"/>
  </si>
  <si>
    <t>装备名：</t>
    <phoneticPr fontId="1" type="noConversion"/>
  </si>
  <si>
    <t>等级：</t>
    <phoneticPr fontId="1" type="noConversion"/>
  </si>
  <si>
    <t>气血：</t>
    <phoneticPr fontId="1" type="noConversion"/>
  </si>
  <si>
    <t>部位：</t>
    <phoneticPr fontId="1" type="noConversion"/>
  </si>
  <si>
    <t>物攻：</t>
    <phoneticPr fontId="1" type="noConversion"/>
  </si>
  <si>
    <t>物防：</t>
    <phoneticPr fontId="1" type="noConversion"/>
  </si>
  <si>
    <t>法攻：</t>
    <phoneticPr fontId="1" type="noConversion"/>
  </si>
  <si>
    <t>法防：</t>
    <phoneticPr fontId="1" type="noConversion"/>
  </si>
  <si>
    <t>随机属性</t>
    <phoneticPr fontId="1" type="noConversion"/>
  </si>
  <si>
    <t>角色名：</t>
    <phoneticPr fontId="1" type="noConversion"/>
  </si>
  <si>
    <t>经验：</t>
    <phoneticPr fontId="1" type="noConversion"/>
  </si>
  <si>
    <t>职业：</t>
    <phoneticPr fontId="1" type="noConversion"/>
  </si>
  <si>
    <t>藏宝图：</t>
    <phoneticPr fontId="1" type="noConversion"/>
  </si>
  <si>
    <t>力量：</t>
    <phoneticPr fontId="1" type="noConversion"/>
  </si>
  <si>
    <t>敏捷：</t>
    <phoneticPr fontId="1" type="noConversion"/>
  </si>
  <si>
    <t>体质：</t>
    <phoneticPr fontId="1" type="noConversion"/>
  </si>
  <si>
    <t>智力：</t>
    <phoneticPr fontId="1" type="noConversion"/>
  </si>
  <si>
    <t>暴击：</t>
    <phoneticPr fontId="1" type="noConversion"/>
  </si>
  <si>
    <t>命中：</t>
    <phoneticPr fontId="1" type="noConversion"/>
  </si>
  <si>
    <t>闪避：</t>
    <phoneticPr fontId="1" type="noConversion"/>
  </si>
  <si>
    <t>免暴：</t>
    <phoneticPr fontId="1" type="noConversion"/>
  </si>
  <si>
    <t>装备名</t>
    <phoneticPr fontId="1" type="noConversion"/>
  </si>
  <si>
    <t>部位</t>
    <phoneticPr fontId="1" type="noConversion"/>
  </si>
  <si>
    <t>等级</t>
    <phoneticPr fontId="1" type="noConversion"/>
  </si>
  <si>
    <t>生成装备临时存放</t>
    <phoneticPr fontId="1" type="noConversion"/>
  </si>
  <si>
    <t>角色界面</t>
    <phoneticPr fontId="1" type="noConversion"/>
  </si>
  <si>
    <t>防具：</t>
    <phoneticPr fontId="1" type="noConversion"/>
  </si>
  <si>
    <t>宝物：</t>
    <phoneticPr fontId="1" type="noConversion"/>
  </si>
  <si>
    <t>包裹栏</t>
    <phoneticPr fontId="1" type="noConversion"/>
  </si>
  <si>
    <t>武器：</t>
    <phoneticPr fontId="1" type="noConversion"/>
  </si>
  <si>
    <t>防具：</t>
    <phoneticPr fontId="1" type="noConversion"/>
  </si>
  <si>
    <t>宝物：</t>
    <phoneticPr fontId="1" type="noConversion"/>
  </si>
  <si>
    <t>请输入编号：</t>
    <phoneticPr fontId="1" type="noConversion"/>
  </si>
  <si>
    <t>无</t>
    <phoneticPr fontId="1" type="noConversion"/>
  </si>
  <si>
    <t>人物总属性：</t>
    <phoneticPr fontId="1" type="noConversion"/>
  </si>
  <si>
    <t>装备属性：</t>
    <phoneticPr fontId="1" type="noConversion"/>
  </si>
  <si>
    <t>无</t>
    <phoneticPr fontId="1" type="noConversion"/>
  </si>
  <si>
    <t>升级经验</t>
    <phoneticPr fontId="1" type="noConversion"/>
  </si>
  <si>
    <t>已开放地图：</t>
    <phoneticPr fontId="1" type="noConversion"/>
  </si>
  <si>
    <t>1级防具</t>
    <phoneticPr fontId="1" type="noConversion"/>
  </si>
  <si>
    <t>物理攻击</t>
    <phoneticPr fontId="1" type="noConversion"/>
  </si>
  <si>
    <t>1级boss</t>
    <phoneticPr fontId="1" type="noConversion"/>
  </si>
  <si>
    <t>2级boss</t>
    <phoneticPr fontId="1" type="noConversion"/>
  </si>
  <si>
    <t>法术攻击</t>
    <phoneticPr fontId="1" type="noConversion"/>
  </si>
  <si>
    <t>3级boss</t>
    <phoneticPr fontId="1" type="noConversion"/>
  </si>
  <si>
    <t>4级boss</t>
    <phoneticPr fontId="1" type="noConversion"/>
  </si>
  <si>
    <t>5级boss</t>
    <phoneticPr fontId="1" type="noConversion"/>
  </si>
  <si>
    <t>物防·1级武器</t>
    <phoneticPr fontId="1" type="noConversion"/>
  </si>
  <si>
    <t>法防·力量·2级武器</t>
    <phoneticPr fontId="1" type="noConversion"/>
  </si>
  <si>
    <t>暴击·智力·2级武器</t>
    <phoneticPr fontId="1" type="noConversion"/>
  </si>
  <si>
    <t>智力·体质·气血·2级武器</t>
    <phoneticPr fontId="1" type="noConversion"/>
  </si>
  <si>
    <t>武器</t>
    <phoneticPr fontId="1" type="noConversion"/>
  </si>
  <si>
    <t>防具</t>
    <phoneticPr fontId="1" type="noConversion"/>
  </si>
  <si>
    <t>闪避·2级防具</t>
    <phoneticPr fontId="1" type="noConversion"/>
  </si>
  <si>
    <t>法攻·气血·2级防具</t>
    <phoneticPr fontId="1" type="noConversion"/>
  </si>
  <si>
    <t>2级宝物</t>
    <phoneticPr fontId="1" type="noConversion"/>
  </si>
  <si>
    <t>宝物</t>
    <phoneticPr fontId="1" type="noConversion"/>
  </si>
  <si>
    <t>命中·敏捷·2级宝物</t>
    <phoneticPr fontId="1" type="noConversion"/>
  </si>
  <si>
    <t>点击次数</t>
    <phoneticPr fontId="1" type="noConversion"/>
  </si>
  <si>
    <t>总点击次数</t>
    <phoneticPr fontId="1" type="noConversion"/>
  </si>
  <si>
    <t>天边一朵云</t>
    <phoneticPr fontId="1" type="noConversion"/>
  </si>
  <si>
    <t>怪物已死亡</t>
  </si>
  <si>
    <t>怪物对玩家发动物理攻击，但被玩家闪避成功，没有造成伤害。</t>
  </si>
  <si>
    <t>物防·1级武器</t>
  </si>
  <si>
    <t>法攻·气血·2级防具</t>
  </si>
  <si>
    <t>免暴·2级宝物</t>
  </si>
  <si>
    <t>宝物</t>
  </si>
  <si>
    <t>武器</t>
    <phoneticPr fontId="1" type="noConversion"/>
  </si>
  <si>
    <t>免暴·闪避·1级防具</t>
    <phoneticPr fontId="1" type="noConversion"/>
  </si>
  <si>
    <t>免暴·闪避·1级防具</t>
    <phoneticPr fontId="1" type="noConversion"/>
  </si>
  <si>
    <t>闪避·2级防具</t>
    <phoneticPr fontId="1" type="noConversion"/>
  </si>
  <si>
    <t>玩家对怪物发动法术攻击，攻击命中，造成了1220点伤害。</t>
  </si>
  <si>
    <t>玩家对怪物发动法术攻击，攻击命中，造成了1216点伤害。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</si>
</sst>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.5"/>
      <color theme="1"/>
      <name val="Calibri"/>
      <family val="2"/>
    </font>
    <font>
      <sz val="10.5"/>
      <color theme="1"/>
      <name val="宋体"/>
      <family val="3"/>
      <charset val="134"/>
    </font>
    <font>
      <sz val="9"/>
      <color theme="1"/>
      <name val="宋体"/>
      <family val="3"/>
      <charset val="134"/>
    </font>
    <font>
      <sz val="12"/>
      <name val="宋体"/>
      <family val="3"/>
      <charset val="134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3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0" borderId="0"/>
  </cellStyleXfs>
  <cellXfs count="58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 applyBorder="1" applyAlignment="1">
      <alignment horizontal="justify" vertical="top" wrapText="1"/>
    </xf>
    <xf numFmtId="0" fontId="3" fillId="3" borderId="0" xfId="0" applyFont="1" applyFill="1" applyBorder="1" applyAlignment="1">
      <alignment horizontal="justify" vertical="top" wrapText="1"/>
    </xf>
    <xf numFmtId="0" fontId="2" fillId="3" borderId="0" xfId="0" applyFont="1" applyFill="1" applyBorder="1" applyAlignment="1">
      <alignment horizontal="justify" vertical="top" wrapText="1"/>
    </xf>
    <xf numFmtId="0" fontId="4" fillId="4" borderId="0" xfId="0" applyFont="1" applyFill="1" applyBorder="1" applyAlignment="1">
      <alignment horizontal="justify" vertical="top" wrapText="1"/>
    </xf>
    <xf numFmtId="0" fontId="3" fillId="4" borderId="0" xfId="0" applyFont="1" applyFill="1" applyBorder="1" applyAlignment="1">
      <alignment horizontal="justify" vertical="top" wrapText="1"/>
    </xf>
    <xf numFmtId="0" fontId="2" fillId="4" borderId="0" xfId="0" applyFont="1" applyFill="1" applyBorder="1" applyAlignment="1">
      <alignment horizontal="justify" vertical="top" wrapText="1"/>
    </xf>
    <xf numFmtId="0" fontId="0" fillId="5" borderId="0" xfId="0" applyFill="1">
      <alignment vertical="center"/>
    </xf>
    <xf numFmtId="0" fontId="3" fillId="5" borderId="0" xfId="0" applyFont="1" applyFill="1" applyBorder="1" applyAlignment="1">
      <alignment horizontal="justify" vertical="top" wrapText="1"/>
    </xf>
    <xf numFmtId="0" fontId="0" fillId="0" borderId="0" xfId="0" applyAlignment="1">
      <alignment vertical="center" wrapText="1"/>
    </xf>
    <xf numFmtId="0" fontId="0" fillId="0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9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3" fillId="12" borderId="0" xfId="0" applyFont="1" applyFill="1" applyBorder="1" applyAlignment="1">
      <alignment horizontal="justify" vertical="top" wrapText="1"/>
    </xf>
    <xf numFmtId="0" fontId="0" fillId="3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3" borderId="0" xfId="0" applyFill="1">
      <alignment vertical="center"/>
    </xf>
    <xf numFmtId="0" fontId="0" fillId="14" borderId="0" xfId="0" applyFill="1">
      <alignment vertical="center"/>
    </xf>
    <xf numFmtId="0" fontId="3" fillId="5" borderId="0" xfId="0" applyFont="1" applyFill="1" applyBorder="1" applyAlignment="1">
      <alignment horizontal="center" vertical="top" wrapText="1"/>
    </xf>
    <xf numFmtId="0" fontId="3" fillId="16" borderId="0" xfId="0" applyFont="1" applyFill="1" applyBorder="1" applyAlignment="1">
      <alignment horizontal="center" vertical="top" wrapText="1"/>
    </xf>
    <xf numFmtId="0" fontId="0" fillId="4" borderId="0" xfId="0" applyFill="1" applyAlignment="1">
      <alignment horizontal="center" vertical="center"/>
    </xf>
    <xf numFmtId="0" fontId="3" fillId="4" borderId="0" xfId="0" applyFont="1" applyFill="1" applyBorder="1" applyAlignment="1">
      <alignment horizontal="center" vertical="top" wrapText="1"/>
    </xf>
    <xf numFmtId="0" fontId="0" fillId="0" borderId="0" xfId="0" applyAlignment="1">
      <alignment horizontal="left" vertical="center"/>
    </xf>
    <xf numFmtId="0" fontId="0" fillId="16" borderId="0" xfId="0" applyFill="1" applyAlignment="1">
      <alignment horizontal="center" vertical="center"/>
    </xf>
    <xf numFmtId="0" fontId="0" fillId="9" borderId="0" xfId="0" applyFill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8" borderId="0" xfId="0" applyFill="1" applyAlignment="1">
      <alignment horizontal="left" vertical="center"/>
    </xf>
    <xf numFmtId="0" fontId="0" fillId="17" borderId="0" xfId="0" applyFill="1" applyAlignment="1">
      <alignment horizontal="left" vertical="center"/>
    </xf>
    <xf numFmtId="0" fontId="0" fillId="15" borderId="0" xfId="0" applyFill="1" applyAlignment="1">
      <alignment horizontal="left" vertical="center"/>
    </xf>
    <xf numFmtId="0" fontId="0" fillId="17" borderId="0" xfId="0" applyFill="1" applyAlignment="1">
      <alignment vertical="center"/>
    </xf>
    <xf numFmtId="0" fontId="0" fillId="16" borderId="0" xfId="0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0" fillId="14" borderId="0" xfId="0" applyFill="1" applyAlignment="1">
      <alignment horizontal="left" vertical="center"/>
    </xf>
    <xf numFmtId="0" fontId="0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16" borderId="0" xfId="0" applyFont="1" applyFill="1" applyBorder="1" applyAlignment="1">
      <alignment horizontal="justify" vertical="top" wrapText="1"/>
    </xf>
    <xf numFmtId="0" fontId="0" fillId="16" borderId="0" xfId="0" applyFill="1">
      <alignment vertical="center"/>
    </xf>
    <xf numFmtId="0" fontId="0" fillId="18" borderId="0" xfId="0" applyFill="1" applyAlignment="1">
      <alignment horizontal="center" vertical="center"/>
    </xf>
    <xf numFmtId="0" fontId="0" fillId="18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</cellXfs>
  <cellStyles count="2">
    <cellStyle name="常规" xfId="0" builtinId="0"/>
    <cellStyle name="常规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54396325459317"/>
          <c:y val="4.6770924467774859E-2"/>
          <c:w val="0.72859492563429584"/>
          <c:h val="0.82600284339459629"/>
        </c:manualLayout>
      </c:layout>
      <c:lineChart>
        <c:grouping val="standard"/>
        <c:varyColors val="0"/>
        <c:ser>
          <c:idx val="0"/>
          <c:order val="0"/>
          <c:tx>
            <c:v>等级</c:v>
          </c:tx>
          <c:marker>
            <c:symbol val="none"/>
          </c:marker>
          <c:val>
            <c:numRef>
              <c:f>经验表!$B$2:$B$51</c:f>
              <c:numCache>
                <c:formatCode>General</c:formatCode>
                <c:ptCount val="50"/>
                <c:pt idx="0">
                  <c:v>20</c:v>
                </c:pt>
                <c:pt idx="1">
                  <c:v>22</c:v>
                </c:pt>
                <c:pt idx="2">
                  <c:v>52</c:v>
                </c:pt>
                <c:pt idx="3">
                  <c:v>182</c:v>
                </c:pt>
                <c:pt idx="4">
                  <c:v>532</c:v>
                </c:pt>
                <c:pt idx="5">
                  <c:v>1270</c:v>
                </c:pt>
                <c:pt idx="6">
                  <c:v>2612</c:v>
                </c:pt>
                <c:pt idx="7">
                  <c:v>4822</c:v>
                </c:pt>
                <c:pt idx="8">
                  <c:v>8212</c:v>
                </c:pt>
                <c:pt idx="9">
                  <c:v>13142</c:v>
                </c:pt>
                <c:pt idx="10">
                  <c:v>20020</c:v>
                </c:pt>
                <c:pt idx="11">
                  <c:v>29302</c:v>
                </c:pt>
                <c:pt idx="12">
                  <c:v>41492</c:v>
                </c:pt>
                <c:pt idx="13">
                  <c:v>57142</c:v>
                </c:pt>
                <c:pt idx="14">
                  <c:v>76852</c:v>
                </c:pt>
                <c:pt idx="15">
                  <c:v>101270</c:v>
                </c:pt>
                <c:pt idx="16">
                  <c:v>131092</c:v>
                </c:pt>
                <c:pt idx="17">
                  <c:v>167062</c:v>
                </c:pt>
                <c:pt idx="18">
                  <c:v>209972</c:v>
                </c:pt>
                <c:pt idx="19">
                  <c:v>260662</c:v>
                </c:pt>
                <c:pt idx="20">
                  <c:v>320020</c:v>
                </c:pt>
                <c:pt idx="21">
                  <c:v>388982</c:v>
                </c:pt>
                <c:pt idx="22">
                  <c:v>468532</c:v>
                </c:pt>
                <c:pt idx="23">
                  <c:v>559702</c:v>
                </c:pt>
                <c:pt idx="24">
                  <c:v>663572</c:v>
                </c:pt>
                <c:pt idx="25">
                  <c:v>781270</c:v>
                </c:pt>
                <c:pt idx="26">
                  <c:v>913972</c:v>
                </c:pt>
                <c:pt idx="27">
                  <c:v>1062902</c:v>
                </c:pt>
                <c:pt idx="28">
                  <c:v>1229332</c:v>
                </c:pt>
                <c:pt idx="29">
                  <c:v>1414582</c:v>
                </c:pt>
                <c:pt idx="30">
                  <c:v>1620020</c:v>
                </c:pt>
                <c:pt idx="31">
                  <c:v>1847062</c:v>
                </c:pt>
                <c:pt idx="32">
                  <c:v>2097172</c:v>
                </c:pt>
                <c:pt idx="33">
                  <c:v>2371862</c:v>
                </c:pt>
                <c:pt idx="34">
                  <c:v>2672692</c:v>
                </c:pt>
                <c:pt idx="35">
                  <c:v>3001270</c:v>
                </c:pt>
                <c:pt idx="36">
                  <c:v>3359252</c:v>
                </c:pt>
                <c:pt idx="37">
                  <c:v>3748342</c:v>
                </c:pt>
                <c:pt idx="38">
                  <c:v>4170292</c:v>
                </c:pt>
                <c:pt idx="39">
                  <c:v>4626902</c:v>
                </c:pt>
                <c:pt idx="40">
                  <c:v>5120020</c:v>
                </c:pt>
                <c:pt idx="41">
                  <c:v>5651542</c:v>
                </c:pt>
                <c:pt idx="42">
                  <c:v>6223412</c:v>
                </c:pt>
                <c:pt idx="43">
                  <c:v>6837622</c:v>
                </c:pt>
                <c:pt idx="44">
                  <c:v>7496212</c:v>
                </c:pt>
                <c:pt idx="45">
                  <c:v>8201270</c:v>
                </c:pt>
                <c:pt idx="46">
                  <c:v>8954932</c:v>
                </c:pt>
                <c:pt idx="47">
                  <c:v>9759382</c:v>
                </c:pt>
                <c:pt idx="48">
                  <c:v>10616852</c:v>
                </c:pt>
                <c:pt idx="49">
                  <c:v>11529622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985088"/>
        <c:axId val="49985648"/>
      </c:lineChart>
      <c:catAx>
        <c:axId val="49985088"/>
        <c:scaling>
          <c:orientation val="minMax"/>
        </c:scaling>
        <c:delete val="0"/>
        <c:axPos val="b"/>
        <c:majorTickMark val="out"/>
        <c:minorTickMark val="none"/>
        <c:tickLblPos val="nextTo"/>
        <c:crossAx val="49985648"/>
        <c:crosses val="autoZero"/>
        <c:auto val="1"/>
        <c:lblAlgn val="ctr"/>
        <c:lblOffset val="100"/>
        <c:noMultiLvlLbl val="0"/>
      </c:catAx>
      <c:valAx>
        <c:axId val="49985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9850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1343" l="0.70000000000000062" r="0.70000000000000062" t="0.7500000000000134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小时</c:v>
          </c:tx>
          <c:val>
            <c:numRef>
              <c:f>经验表!$E$2:$E$51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4778448"/>
        <c:axId val="284779008"/>
      </c:lineChart>
      <c:catAx>
        <c:axId val="284778448"/>
        <c:scaling>
          <c:orientation val="minMax"/>
        </c:scaling>
        <c:delete val="0"/>
        <c:axPos val="b"/>
        <c:majorTickMark val="out"/>
        <c:minorTickMark val="none"/>
        <c:tickLblPos val="nextTo"/>
        <c:crossAx val="284779008"/>
        <c:crosses val="autoZero"/>
        <c:auto val="1"/>
        <c:lblAlgn val="ctr"/>
        <c:lblOffset val="100"/>
        <c:noMultiLvlLbl val="0"/>
      </c:catAx>
      <c:valAx>
        <c:axId val="284779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47784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10.emf"/><Relationship Id="rId7" Type="http://schemas.openxmlformats.org/officeDocument/2006/relationships/image" Target="../media/image12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6.emf"/><Relationship Id="rId5" Type="http://schemas.openxmlformats.org/officeDocument/2006/relationships/image" Target="../media/image7.emf"/><Relationship Id="rId10" Type="http://schemas.openxmlformats.org/officeDocument/2006/relationships/image" Target="../media/image15.emf"/><Relationship Id="rId4" Type="http://schemas.openxmlformats.org/officeDocument/2006/relationships/image" Target="../media/image11.emf"/><Relationship Id="rId9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20</xdr:row>
          <xdr:rowOff>123825</xdr:rowOff>
        </xdr:from>
        <xdr:to>
          <xdr:col>7</xdr:col>
          <xdr:colOff>180975</xdr:colOff>
          <xdr:row>24</xdr:row>
          <xdr:rowOff>85725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12</xdr:row>
          <xdr:rowOff>76200</xdr:rowOff>
        </xdr:from>
        <xdr:to>
          <xdr:col>6</xdr:col>
          <xdr:colOff>142875</xdr:colOff>
          <xdr:row>14</xdr:row>
          <xdr:rowOff>152400</xdr:rowOff>
        </xdr:to>
        <xdr:sp macro="" textlink="">
          <xdr:nvSpPr>
            <xdr:cNvPr id="3076" name="OptionButton1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12</xdr:row>
          <xdr:rowOff>57150</xdr:rowOff>
        </xdr:from>
        <xdr:to>
          <xdr:col>9</xdr:col>
          <xdr:colOff>66675</xdr:colOff>
          <xdr:row>14</xdr:row>
          <xdr:rowOff>123825</xdr:rowOff>
        </xdr:to>
        <xdr:sp macro="" textlink="">
          <xdr:nvSpPr>
            <xdr:cNvPr id="3077" name="OptionButton2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12</xdr:row>
          <xdr:rowOff>19050</xdr:rowOff>
        </xdr:from>
        <xdr:to>
          <xdr:col>12</xdr:col>
          <xdr:colOff>95250</xdr:colOff>
          <xdr:row>15</xdr:row>
          <xdr:rowOff>19050</xdr:rowOff>
        </xdr:to>
        <xdr:sp macro="" textlink="">
          <xdr:nvSpPr>
            <xdr:cNvPr id="3078" name="OptionButton3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676275</xdr:colOff>
          <xdr:row>7</xdr:row>
          <xdr:rowOff>28575</xdr:rowOff>
        </xdr:from>
        <xdr:to>
          <xdr:col>12</xdr:col>
          <xdr:colOff>104775</xdr:colOff>
          <xdr:row>10</xdr:row>
          <xdr:rowOff>66675</xdr:rowOff>
        </xdr:to>
        <xdr:sp macro="" textlink="">
          <xdr:nvSpPr>
            <xdr:cNvPr id="3080" name="CommandButton2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0</xdr:row>
          <xdr:rowOff>95250</xdr:rowOff>
        </xdr:from>
        <xdr:to>
          <xdr:col>8</xdr:col>
          <xdr:colOff>476250</xdr:colOff>
          <xdr:row>3</xdr:row>
          <xdr:rowOff>123825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4171950</xdr:colOff>
          <xdr:row>0</xdr:row>
          <xdr:rowOff>9525</xdr:rowOff>
        </xdr:from>
        <xdr:to>
          <xdr:col>10</xdr:col>
          <xdr:colOff>4410075</xdr:colOff>
          <xdr:row>18</xdr:row>
          <xdr:rowOff>152400</xdr:rowOff>
        </xdr:to>
        <xdr:sp macro="" textlink="">
          <xdr:nvSpPr>
            <xdr:cNvPr id="4174" name="ScrollBar1" hidden="1">
              <a:extLst>
                <a:ext uri="{63B3BB69-23CF-44E3-9099-C40C66FF867C}">
                  <a14:compatExt spid="_x0000_s4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1143000</xdr:colOff>
          <xdr:row>21</xdr:row>
          <xdr:rowOff>161925</xdr:rowOff>
        </xdr:from>
        <xdr:to>
          <xdr:col>10</xdr:col>
          <xdr:colOff>2343150</xdr:colOff>
          <xdr:row>24</xdr:row>
          <xdr:rowOff>133350</xdr:rowOff>
        </xdr:to>
        <xdr:sp macro="" textlink="">
          <xdr:nvSpPr>
            <xdr:cNvPr id="4175" name="CommandButton3" hidden="1">
              <a:extLst>
                <a:ext uri="{63B3BB69-23CF-44E3-9099-C40C66FF867C}">
                  <a14:compatExt spid="_x0000_s4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10</xdr:row>
          <xdr:rowOff>123825</xdr:rowOff>
        </xdr:from>
        <xdr:to>
          <xdr:col>8</xdr:col>
          <xdr:colOff>542925</xdr:colOff>
          <xdr:row>13</xdr:row>
          <xdr:rowOff>161925</xdr:rowOff>
        </xdr:to>
        <xdr:sp macro="" textlink="">
          <xdr:nvSpPr>
            <xdr:cNvPr id="4178" name="CommandButton4" hidden="1">
              <a:extLst>
                <a:ext uri="{63B3BB69-23CF-44E3-9099-C40C66FF867C}">
                  <a14:compatExt spid="_x0000_s4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381000</xdr:colOff>
          <xdr:row>24</xdr:row>
          <xdr:rowOff>161925</xdr:rowOff>
        </xdr:from>
        <xdr:to>
          <xdr:col>8</xdr:col>
          <xdr:colOff>590550</xdr:colOff>
          <xdr:row>27</xdr:row>
          <xdr:rowOff>76200</xdr:rowOff>
        </xdr:to>
        <xdr:sp macro="" textlink="">
          <xdr:nvSpPr>
            <xdr:cNvPr id="4179" name="CommandButton2" hidden="1">
              <a:extLst>
                <a:ext uri="{63B3BB69-23CF-44E3-9099-C40C66FF867C}">
                  <a14:compatExt spid="_x0000_s4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37</xdr:row>
          <xdr:rowOff>66675</xdr:rowOff>
        </xdr:from>
        <xdr:to>
          <xdr:col>1</xdr:col>
          <xdr:colOff>657225</xdr:colOff>
          <xdr:row>39</xdr:row>
          <xdr:rowOff>114300</xdr:rowOff>
        </xdr:to>
        <xdr:sp macro="" textlink="">
          <xdr:nvSpPr>
            <xdr:cNvPr id="4180" name="CommandButton5" hidden="1">
              <a:extLst>
                <a:ext uri="{63B3BB69-23CF-44E3-9099-C40C66FF867C}">
                  <a14:compatExt spid="_x0000_s4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657225</xdr:colOff>
          <xdr:row>32</xdr:row>
          <xdr:rowOff>9525</xdr:rowOff>
        </xdr:from>
        <xdr:to>
          <xdr:col>8</xdr:col>
          <xdr:colOff>238125</xdr:colOff>
          <xdr:row>35</xdr:row>
          <xdr:rowOff>9525</xdr:rowOff>
        </xdr:to>
        <xdr:sp macro="" textlink="">
          <xdr:nvSpPr>
            <xdr:cNvPr id="4181" name="CommandButton6" hidden="1">
              <a:extLst>
                <a:ext uri="{63B3BB69-23CF-44E3-9099-C40C66FF867C}">
                  <a14:compatExt spid="_x0000_s4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37</xdr:row>
          <xdr:rowOff>85725</xdr:rowOff>
        </xdr:from>
        <xdr:to>
          <xdr:col>3</xdr:col>
          <xdr:colOff>771525</xdr:colOff>
          <xdr:row>39</xdr:row>
          <xdr:rowOff>142875</xdr:rowOff>
        </xdr:to>
        <xdr:sp macro="" textlink="">
          <xdr:nvSpPr>
            <xdr:cNvPr id="4183" name="CommandButton7" hidden="1">
              <a:extLst>
                <a:ext uri="{63B3BB69-23CF-44E3-9099-C40C66FF867C}">
                  <a14:compatExt spid="_x0000_s4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37</xdr:row>
          <xdr:rowOff>47625</xdr:rowOff>
        </xdr:from>
        <xdr:to>
          <xdr:col>5</xdr:col>
          <xdr:colOff>542925</xdr:colOff>
          <xdr:row>39</xdr:row>
          <xdr:rowOff>123825</xdr:rowOff>
        </xdr:to>
        <xdr:sp macro="" textlink="">
          <xdr:nvSpPr>
            <xdr:cNvPr id="4184" name="CommandButton8" hidden="1">
              <a:extLst>
                <a:ext uri="{63B3BB69-23CF-44E3-9099-C40C66FF867C}">
                  <a14:compatExt spid="_x0000_s4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4</xdr:row>
          <xdr:rowOff>38100</xdr:rowOff>
        </xdr:from>
        <xdr:to>
          <xdr:col>8</xdr:col>
          <xdr:colOff>457200</xdr:colOff>
          <xdr:row>7</xdr:row>
          <xdr:rowOff>57150</xdr:rowOff>
        </xdr:to>
        <xdr:sp macro="" textlink="">
          <xdr:nvSpPr>
            <xdr:cNvPr id="4186" name="CommandButton9" hidden="1">
              <a:extLst>
                <a:ext uri="{63B3BB69-23CF-44E3-9099-C40C66FF867C}">
                  <a14:compatExt spid="_x0000_s4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18</xdr:row>
          <xdr:rowOff>142875</xdr:rowOff>
        </xdr:from>
        <xdr:to>
          <xdr:col>15</xdr:col>
          <xdr:colOff>19050</xdr:colOff>
          <xdr:row>22</xdr:row>
          <xdr:rowOff>104775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23</xdr:row>
          <xdr:rowOff>85725</xdr:rowOff>
        </xdr:from>
        <xdr:to>
          <xdr:col>15</xdr:col>
          <xdr:colOff>0</xdr:colOff>
          <xdr:row>27</xdr:row>
          <xdr:rowOff>19050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228600</xdr:colOff>
      <xdr:row>2</xdr:row>
      <xdr:rowOff>47625</xdr:rowOff>
    </xdr:from>
    <xdr:to>
      <xdr:col>14</xdr:col>
      <xdr:colOff>0</xdr:colOff>
      <xdr:row>18</xdr:row>
      <xdr:rowOff>47625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219075</xdr:colOff>
      <xdr:row>20</xdr:row>
      <xdr:rowOff>0</xdr:rowOff>
    </xdr:from>
    <xdr:to>
      <xdr:col>13</xdr:col>
      <xdr:colOff>676275</xdr:colOff>
      <xdr:row>36</xdr:row>
      <xdr:rowOff>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18" Type="http://schemas.openxmlformats.org/officeDocument/2006/relationships/control" Target="../activeX/activeX13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4.emf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17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23" Type="http://schemas.openxmlformats.org/officeDocument/2006/relationships/image" Target="../media/image15.emf"/><Relationship Id="rId10" Type="http://schemas.openxmlformats.org/officeDocument/2006/relationships/control" Target="../activeX/activeX9.xml"/><Relationship Id="rId19" Type="http://schemas.openxmlformats.org/officeDocument/2006/relationships/image" Target="../media/image13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ontrol" Target="../activeX/activeX11.xml"/><Relationship Id="rId22" Type="http://schemas.openxmlformats.org/officeDocument/2006/relationships/control" Target="../activeX/activeX1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F8:L17"/>
  <sheetViews>
    <sheetView workbookViewId="0">
      <selection activeCell="H11" sqref="H11"/>
    </sheetView>
  </sheetViews>
  <sheetFormatPr defaultRowHeight="13.5" x14ac:dyDescent="0.15"/>
  <sheetData>
    <row r="8" spans="6:12" x14ac:dyDescent="0.15">
      <c r="H8" s="10"/>
    </row>
    <row r="10" spans="6:12" x14ac:dyDescent="0.15">
      <c r="F10" s="10"/>
      <c r="I10" s="10"/>
      <c r="L10" s="10"/>
    </row>
    <row r="17" spans="9:9" x14ac:dyDescent="0.15">
      <c r="I17" s="11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3080" r:id="rId4" name="CommandButton2">
          <controlPr defaultSize="0" autoLine="0" autoPict="0" r:id="rId5">
            <anchor moveWithCells="1">
              <from>
                <xdr:col>9</xdr:col>
                <xdr:colOff>676275</xdr:colOff>
                <xdr:row>7</xdr:row>
                <xdr:rowOff>28575</xdr:rowOff>
              </from>
              <to>
                <xdr:col>12</xdr:col>
                <xdr:colOff>104775</xdr:colOff>
                <xdr:row>10</xdr:row>
                <xdr:rowOff>66675</xdr:rowOff>
              </to>
            </anchor>
          </controlPr>
        </control>
      </mc:Choice>
      <mc:Fallback>
        <control shapeId="3080" r:id="rId4" name="CommandButton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4</xdr:col>
                <xdr:colOff>533400</xdr:colOff>
                <xdr:row>20</xdr:row>
                <xdr:rowOff>123825</xdr:rowOff>
              </from>
              <to>
                <xdr:col>7</xdr:col>
                <xdr:colOff>180975</xdr:colOff>
                <xdr:row>24</xdr:row>
                <xdr:rowOff>85725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76" r:id="rId8" name="OptionButton1">
          <controlPr defaultSize="0" autoLine="0" r:id="rId9">
            <anchor moveWithCells="1">
              <from>
                <xdr:col>5</xdr:col>
                <xdr:colOff>28575</xdr:colOff>
                <xdr:row>12</xdr:row>
                <xdr:rowOff>76200</xdr:rowOff>
              </from>
              <to>
                <xdr:col>6</xdr:col>
                <xdr:colOff>142875</xdr:colOff>
                <xdr:row>14</xdr:row>
                <xdr:rowOff>152400</xdr:rowOff>
              </to>
            </anchor>
          </controlPr>
        </control>
      </mc:Choice>
      <mc:Fallback>
        <control shapeId="3076" r:id="rId8" name="OptionButton1"/>
      </mc:Fallback>
    </mc:AlternateContent>
    <mc:AlternateContent xmlns:mc="http://schemas.openxmlformats.org/markup-compatibility/2006">
      <mc:Choice Requires="x14">
        <control shapeId="3077" r:id="rId10" name="OptionButton2">
          <controlPr defaultSize="0" autoLine="0" r:id="rId11">
            <anchor moveWithCells="1">
              <from>
                <xdr:col>8</xdr:col>
                <xdr:colOff>9525</xdr:colOff>
                <xdr:row>12</xdr:row>
                <xdr:rowOff>57150</xdr:rowOff>
              </from>
              <to>
                <xdr:col>9</xdr:col>
                <xdr:colOff>66675</xdr:colOff>
                <xdr:row>14</xdr:row>
                <xdr:rowOff>123825</xdr:rowOff>
              </to>
            </anchor>
          </controlPr>
        </control>
      </mc:Choice>
      <mc:Fallback>
        <control shapeId="3077" r:id="rId10" name="OptionButton2"/>
      </mc:Fallback>
    </mc:AlternateContent>
    <mc:AlternateContent xmlns:mc="http://schemas.openxmlformats.org/markup-compatibility/2006">
      <mc:Choice Requires="x14">
        <control shapeId="3078" r:id="rId12" name="OptionButton3">
          <controlPr defaultSize="0" autoLine="0" r:id="rId13">
            <anchor moveWithCells="1">
              <from>
                <xdr:col>11</xdr:col>
                <xdr:colOff>9525</xdr:colOff>
                <xdr:row>12</xdr:row>
                <xdr:rowOff>19050</xdr:rowOff>
              </from>
              <to>
                <xdr:col>12</xdr:col>
                <xdr:colOff>95250</xdr:colOff>
                <xdr:row>15</xdr:row>
                <xdr:rowOff>19050</xdr:rowOff>
              </to>
            </anchor>
          </controlPr>
        </control>
      </mc:Choice>
      <mc:Fallback>
        <control shapeId="3078" r:id="rId12" name="Option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37"/>
  <sheetViews>
    <sheetView tabSelected="1" workbookViewId="0">
      <selection activeCell="F20" sqref="F20"/>
    </sheetView>
  </sheetViews>
  <sheetFormatPr defaultRowHeight="13.5" x14ac:dyDescent="0.15"/>
  <cols>
    <col min="1" max="1" width="10.25" customWidth="1"/>
    <col min="2" max="2" width="11" customWidth="1"/>
    <col min="3" max="3" width="11.125" customWidth="1"/>
    <col min="4" max="4" width="13.75" customWidth="1"/>
    <col min="5" max="5" width="11.25" customWidth="1"/>
    <col min="6" max="6" width="9.5" customWidth="1"/>
    <col min="8" max="8" width="13" customWidth="1"/>
    <col min="9" max="9" width="11" customWidth="1"/>
    <col min="11" max="11" width="58" customWidth="1"/>
  </cols>
  <sheetData>
    <row r="1" spans="1:11" x14ac:dyDescent="0.15">
      <c r="K1" t="s">
        <v>168</v>
      </c>
    </row>
    <row r="2" spans="1:11" x14ac:dyDescent="0.15">
      <c r="K2" t="s">
        <v>159</v>
      </c>
    </row>
    <row r="3" spans="1:11" x14ac:dyDescent="0.15">
      <c r="A3" s="12"/>
      <c r="B3" s="12"/>
      <c r="C3" s="12" t="s">
        <v>122</v>
      </c>
      <c r="D3" s="12"/>
      <c r="E3" s="12"/>
      <c r="F3" s="12"/>
      <c r="K3" t="s">
        <v>158</v>
      </c>
    </row>
    <row r="4" spans="1:11" x14ac:dyDescent="0.15">
      <c r="G4" s="47" t="s">
        <v>134</v>
      </c>
      <c r="K4" t="s">
        <v>169</v>
      </c>
    </row>
    <row r="5" spans="1:11" x14ac:dyDescent="0.15">
      <c r="A5" s="8"/>
      <c r="B5" s="8"/>
      <c r="C5" s="15" t="s">
        <v>106</v>
      </c>
      <c r="D5" s="16" t="s">
        <v>157</v>
      </c>
      <c r="E5" s="16" t="s">
        <v>107</v>
      </c>
      <c r="F5" s="16">
        <v>26880</v>
      </c>
      <c r="G5" s="49">
        <f>VLOOKUP(D7,经验表!A2:B51,2,FALSE)</f>
        <v>29302</v>
      </c>
      <c r="K5" t="s">
        <v>159</v>
      </c>
    </row>
    <row r="6" spans="1:11" x14ac:dyDescent="0.15">
      <c r="A6" s="8"/>
      <c r="B6" s="8"/>
      <c r="C6" s="15" t="s">
        <v>108</v>
      </c>
      <c r="D6" s="16" t="s">
        <v>7</v>
      </c>
      <c r="E6" s="16" t="s">
        <v>109</v>
      </c>
      <c r="F6" s="16">
        <v>2</v>
      </c>
      <c r="K6" t="s">
        <v>158</v>
      </c>
    </row>
    <row r="7" spans="1:11" x14ac:dyDescent="0.15">
      <c r="A7" s="8"/>
      <c r="B7" s="8"/>
      <c r="C7" s="15" t="s">
        <v>98</v>
      </c>
      <c r="D7" s="16">
        <v>12</v>
      </c>
      <c r="E7" s="16"/>
      <c r="F7" s="16"/>
    </row>
    <row r="8" spans="1:11" x14ac:dyDescent="0.15">
      <c r="A8" s="8"/>
      <c r="B8" s="8"/>
      <c r="C8" s="15" t="s">
        <v>112</v>
      </c>
      <c r="D8" s="16">
        <f>HLOOKUP(D6,人物属性!Q8:T22,3,FALSE)</f>
        <v>29</v>
      </c>
      <c r="E8" s="16" t="s">
        <v>110</v>
      </c>
      <c r="F8" s="16">
        <f>HLOOKUP(D6,人物属性!Q8:T22,4,FALSE)</f>
        <v>17</v>
      </c>
    </row>
    <row r="9" spans="1:11" x14ac:dyDescent="0.15">
      <c r="A9" s="8"/>
      <c r="B9" s="8"/>
      <c r="C9" s="15" t="s">
        <v>111</v>
      </c>
      <c r="D9" s="16">
        <f>HLOOKUP(D6,人物属性!Q8:T22,5,FALSE)</f>
        <v>34</v>
      </c>
      <c r="E9" s="16" t="s">
        <v>113</v>
      </c>
      <c r="F9" s="16">
        <f>HLOOKUP(D6,人物属性!Q8:T22,6,FALSE)</f>
        <v>68</v>
      </c>
    </row>
    <row r="10" spans="1:11" x14ac:dyDescent="0.15">
      <c r="A10" s="8"/>
      <c r="B10" s="8"/>
      <c r="C10" s="15" t="s">
        <v>99</v>
      </c>
      <c r="D10" s="16">
        <f>HLOOKUP(D6,人物属性!Q8:T22,7,FALSE)</f>
        <v>1228</v>
      </c>
      <c r="E10" s="16"/>
      <c r="F10" s="16"/>
      <c r="H10" s="20" t="s">
        <v>135</v>
      </c>
      <c r="I10" s="20" t="s">
        <v>50</v>
      </c>
    </row>
    <row r="11" spans="1:11" x14ac:dyDescent="0.15">
      <c r="A11" s="8"/>
      <c r="B11" s="8"/>
      <c r="C11" s="15" t="s">
        <v>101</v>
      </c>
      <c r="D11" s="16">
        <f>HLOOKUP(D6,人物属性!Q8:T22,8,FALSE)</f>
        <v>524</v>
      </c>
      <c r="E11" s="16" t="s">
        <v>102</v>
      </c>
      <c r="F11" s="16">
        <f>HLOOKUP(D6,人物属性!Q8:T22,9,FALSE)</f>
        <v>624</v>
      </c>
    </row>
    <row r="12" spans="1:11" x14ac:dyDescent="0.15">
      <c r="A12" s="8"/>
      <c r="B12" s="8"/>
      <c r="C12" s="15" t="s">
        <v>103</v>
      </c>
      <c r="D12" s="16">
        <f>HLOOKUP(D6,人物属性!Q8:T22,10,FALSE)</f>
        <v>1238</v>
      </c>
      <c r="E12" s="16" t="s">
        <v>104</v>
      </c>
      <c r="F12" s="16">
        <f>HLOOKUP(D6,人物属性!Q8:T22,11,FALSE)</f>
        <v>597</v>
      </c>
    </row>
    <row r="13" spans="1:11" x14ac:dyDescent="0.15">
      <c r="A13" s="8"/>
      <c r="B13" s="8"/>
      <c r="C13" s="15" t="s">
        <v>115</v>
      </c>
      <c r="D13" s="16">
        <f>HLOOKUP(D6,人物属性!Q8:T22,12,FALSE)</f>
        <v>340</v>
      </c>
      <c r="E13" s="16" t="s">
        <v>116</v>
      </c>
      <c r="F13" s="16">
        <f>HLOOKUP(D6,人物属性!Q8:T22,13,FALSE)</f>
        <v>102</v>
      </c>
    </row>
    <row r="14" spans="1:11" x14ac:dyDescent="0.15">
      <c r="A14" s="8"/>
      <c r="B14" s="8"/>
      <c r="C14" s="15" t="s">
        <v>114</v>
      </c>
      <c r="D14" s="16">
        <f>HLOOKUP(D6,人物属性!Q8:T22,14,FALSE)</f>
        <v>34</v>
      </c>
      <c r="E14" s="16" t="s">
        <v>117</v>
      </c>
      <c r="F14" s="16">
        <f>HLOOKUP(D6,人物属性!Q8:T22,15,FALSE)</f>
        <v>4</v>
      </c>
    </row>
    <row r="16" spans="1:11" x14ac:dyDescent="0.15">
      <c r="A16" s="14"/>
      <c r="B16" s="14"/>
      <c r="C16" s="13"/>
      <c r="D16" s="13"/>
      <c r="E16" s="27"/>
      <c r="F16" s="27"/>
      <c r="G16" s="26" t="s">
        <v>97</v>
      </c>
      <c r="H16" s="26"/>
      <c r="I16" s="26" t="s">
        <v>100</v>
      </c>
      <c r="J16" s="26"/>
    </row>
    <row r="17" spans="1:10" x14ac:dyDescent="0.15">
      <c r="A17" s="14"/>
      <c r="B17" s="14"/>
      <c r="C17" s="13"/>
      <c r="D17" s="13"/>
      <c r="E17" s="27"/>
      <c r="F17" s="27"/>
      <c r="G17" s="15" t="s">
        <v>98</v>
      </c>
      <c r="H17" s="16"/>
      <c r="I17" s="34" t="s">
        <v>99</v>
      </c>
      <c r="J17" s="16"/>
    </row>
    <row r="18" spans="1:10" x14ac:dyDescent="0.15">
      <c r="A18" s="14"/>
      <c r="B18" s="14"/>
      <c r="C18" s="13"/>
      <c r="D18" s="13"/>
      <c r="E18" s="27"/>
      <c r="F18" s="27"/>
      <c r="G18" s="15" t="s">
        <v>101</v>
      </c>
      <c r="H18" s="16"/>
      <c r="I18" s="34" t="s">
        <v>102</v>
      </c>
      <c r="J18" s="16"/>
    </row>
    <row r="19" spans="1:10" x14ac:dyDescent="0.15">
      <c r="A19" s="14"/>
      <c r="B19" s="14"/>
      <c r="C19" s="13"/>
      <c r="D19" s="13"/>
      <c r="E19" s="27"/>
      <c r="F19" s="27"/>
      <c r="G19" s="15" t="s">
        <v>103</v>
      </c>
      <c r="H19" s="16"/>
      <c r="I19" s="34" t="s">
        <v>104</v>
      </c>
      <c r="J19" s="16"/>
    </row>
    <row r="20" spans="1:10" x14ac:dyDescent="0.15">
      <c r="A20" s="14" t="s">
        <v>96</v>
      </c>
      <c r="B20" s="40" t="s">
        <v>160</v>
      </c>
      <c r="C20" s="13" t="s">
        <v>123</v>
      </c>
      <c r="D20" s="45" t="s">
        <v>161</v>
      </c>
      <c r="E20" s="27" t="s">
        <v>124</v>
      </c>
      <c r="F20" s="46" t="s">
        <v>162</v>
      </c>
      <c r="G20" s="15" t="s">
        <v>105</v>
      </c>
      <c r="H20" s="16"/>
      <c r="I20" s="34"/>
      <c r="J20" s="16"/>
    </row>
    <row r="21" spans="1:10" x14ac:dyDescent="0.15">
      <c r="A21" s="14"/>
      <c r="B21" s="14"/>
      <c r="C21" s="13"/>
      <c r="D21" s="13"/>
      <c r="E21" s="27"/>
      <c r="F21" s="27"/>
      <c r="G21" s="34"/>
      <c r="H21" s="16"/>
      <c r="I21" s="34"/>
      <c r="J21" s="16"/>
    </row>
    <row r="22" spans="1:10" x14ac:dyDescent="0.15">
      <c r="A22" s="14"/>
      <c r="B22" s="14"/>
      <c r="C22" s="13"/>
      <c r="D22" s="13"/>
      <c r="E22" s="27"/>
      <c r="F22" s="27"/>
      <c r="G22" s="34"/>
      <c r="H22" s="16"/>
      <c r="I22" s="34"/>
      <c r="J22" s="16"/>
    </row>
    <row r="23" spans="1:10" x14ac:dyDescent="0.15">
      <c r="A23" s="14"/>
      <c r="B23" s="14"/>
      <c r="C23" s="13"/>
      <c r="D23" s="13"/>
      <c r="E23" s="27"/>
      <c r="F23" s="27"/>
      <c r="G23" s="34"/>
      <c r="H23" s="16"/>
      <c r="I23" s="34"/>
      <c r="J23" s="16"/>
    </row>
    <row r="25" spans="1:10" x14ac:dyDescent="0.15">
      <c r="A25" t="s">
        <v>125</v>
      </c>
      <c r="B25" s="44"/>
      <c r="D25" s="44"/>
      <c r="F25" s="44"/>
    </row>
    <row r="26" spans="1:10" x14ac:dyDescent="0.15">
      <c r="A26" s="38" t="s">
        <v>126</v>
      </c>
      <c r="B26" s="40" t="s">
        <v>144</v>
      </c>
      <c r="C26" s="39" t="s">
        <v>127</v>
      </c>
      <c r="D26" s="41" t="s">
        <v>165</v>
      </c>
      <c r="E26" s="37" t="s">
        <v>128</v>
      </c>
      <c r="F26" s="42" t="s">
        <v>152</v>
      </c>
    </row>
    <row r="27" spans="1:10" x14ac:dyDescent="0.15">
      <c r="A27" s="38" t="s">
        <v>126</v>
      </c>
      <c r="B27" s="40" t="s">
        <v>145</v>
      </c>
      <c r="C27" s="39" t="s">
        <v>127</v>
      </c>
      <c r="D27" s="41" t="s">
        <v>150</v>
      </c>
      <c r="E27" s="37" t="s">
        <v>128</v>
      </c>
      <c r="F27" s="42" t="s">
        <v>154</v>
      </c>
    </row>
    <row r="28" spans="1:10" x14ac:dyDescent="0.15">
      <c r="A28" s="38" t="s">
        <v>126</v>
      </c>
      <c r="B28" s="40" t="s">
        <v>146</v>
      </c>
      <c r="C28" s="39" t="s">
        <v>127</v>
      </c>
      <c r="D28" s="41" t="s">
        <v>151</v>
      </c>
      <c r="E28" s="37" t="s">
        <v>128</v>
      </c>
      <c r="F28" s="42" t="s">
        <v>162</v>
      </c>
    </row>
    <row r="29" spans="1:10" x14ac:dyDescent="0.15">
      <c r="A29" s="38" t="s">
        <v>126</v>
      </c>
      <c r="B29" s="40" t="s">
        <v>147</v>
      </c>
      <c r="C29" s="39" t="s">
        <v>127</v>
      </c>
      <c r="D29" s="41"/>
      <c r="E29" s="37" t="s">
        <v>128</v>
      </c>
      <c r="F29" s="42"/>
    </row>
    <row r="30" spans="1:10" x14ac:dyDescent="0.15">
      <c r="A30" s="38" t="s">
        <v>126</v>
      </c>
      <c r="B30" s="40"/>
      <c r="C30" s="39" t="s">
        <v>127</v>
      </c>
      <c r="D30" s="41"/>
      <c r="E30" s="37" t="s">
        <v>128</v>
      </c>
      <c r="F30" s="42"/>
    </row>
    <row r="31" spans="1:10" x14ac:dyDescent="0.15">
      <c r="A31" s="38" t="s">
        <v>126</v>
      </c>
      <c r="B31" s="40"/>
      <c r="C31" s="39" t="s">
        <v>127</v>
      </c>
      <c r="D31" s="41"/>
      <c r="E31" s="37" t="s">
        <v>128</v>
      </c>
      <c r="F31" s="42"/>
    </row>
    <row r="32" spans="1:10" x14ac:dyDescent="0.15">
      <c r="A32" s="38" t="s">
        <v>126</v>
      </c>
      <c r="B32" s="40"/>
      <c r="C32" s="39" t="s">
        <v>127</v>
      </c>
      <c r="D32" s="41"/>
      <c r="E32" s="37" t="s">
        <v>128</v>
      </c>
      <c r="F32" s="42"/>
    </row>
    <row r="33" spans="1:6" x14ac:dyDescent="0.15">
      <c r="A33" s="38" t="s">
        <v>126</v>
      </c>
      <c r="B33" s="40"/>
      <c r="C33" s="39" t="s">
        <v>127</v>
      </c>
      <c r="D33" s="41"/>
      <c r="E33" s="37" t="s">
        <v>128</v>
      </c>
      <c r="F33" s="42"/>
    </row>
    <row r="34" spans="1:6" x14ac:dyDescent="0.15">
      <c r="A34" s="38" t="s">
        <v>126</v>
      </c>
      <c r="B34" s="40"/>
      <c r="C34" s="39" t="s">
        <v>127</v>
      </c>
      <c r="D34" s="41"/>
      <c r="E34" s="37" t="s">
        <v>128</v>
      </c>
      <c r="F34" s="42"/>
    </row>
    <row r="35" spans="1:6" x14ac:dyDescent="0.15">
      <c r="A35" s="38" t="s">
        <v>126</v>
      </c>
      <c r="B35" s="40"/>
      <c r="C35" s="39" t="s">
        <v>127</v>
      </c>
      <c r="D35" s="41"/>
      <c r="E35" s="37" t="s">
        <v>128</v>
      </c>
      <c r="F35" s="42"/>
    </row>
    <row r="36" spans="1:6" x14ac:dyDescent="0.15">
      <c r="B36" s="40" t="s">
        <v>130</v>
      </c>
      <c r="D36" s="41" t="s">
        <v>130</v>
      </c>
      <c r="F36" s="42" t="s">
        <v>130</v>
      </c>
    </row>
    <row r="37" spans="1:6" x14ac:dyDescent="0.15">
      <c r="A37" s="40" t="s">
        <v>129</v>
      </c>
      <c r="B37" s="38"/>
      <c r="C37" s="43" t="s">
        <v>129</v>
      </c>
      <c r="D37" s="39"/>
      <c r="E37" s="42" t="s">
        <v>129</v>
      </c>
      <c r="F37" s="37"/>
    </row>
  </sheetData>
  <phoneticPr fontId="1" type="noConversion"/>
  <dataValidations count="3">
    <dataValidation type="list" allowBlank="1" showInputMessage="1" showErrorMessage="1" sqref="F20">
      <formula1>$F$26:$F$36</formula1>
    </dataValidation>
    <dataValidation type="list" allowBlank="1" showInputMessage="1" showErrorMessage="1" sqref="D20">
      <formula1>$D$26:$D$36</formula1>
    </dataValidation>
    <dataValidation type="list" allowBlank="1" showInputMessage="1" showErrorMessage="1" sqref="B20">
      <formula1>$B$26:$B$36</formula1>
    </dataValidation>
  </dataValidation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4180" r:id="rId4" name="CommandButton5">
          <controlPr defaultSize="0" autoLine="0" r:id="rId5">
            <anchor moveWithCells="1">
              <from>
                <xdr:col>0</xdr:col>
                <xdr:colOff>47625</xdr:colOff>
                <xdr:row>37</xdr:row>
                <xdr:rowOff>66675</xdr:rowOff>
              </from>
              <to>
                <xdr:col>1</xdr:col>
                <xdr:colOff>657225</xdr:colOff>
                <xdr:row>39</xdr:row>
                <xdr:rowOff>114300</xdr:rowOff>
              </to>
            </anchor>
          </controlPr>
        </control>
      </mc:Choice>
      <mc:Fallback>
        <control shapeId="4180" r:id="rId4" name="CommandButton5"/>
      </mc:Fallback>
    </mc:AlternateContent>
    <mc:AlternateContent xmlns:mc="http://schemas.openxmlformats.org/markup-compatibility/2006">
      <mc:Choice Requires="x14">
        <control shapeId="4179" r:id="rId6" name="CommandButton2">
          <controlPr defaultSize="0" autoLine="0" r:id="rId7">
            <anchor moveWithCells="1">
              <from>
                <xdr:col>6</xdr:col>
                <xdr:colOff>381000</xdr:colOff>
                <xdr:row>24</xdr:row>
                <xdr:rowOff>161925</xdr:rowOff>
              </from>
              <to>
                <xdr:col>8</xdr:col>
                <xdr:colOff>590550</xdr:colOff>
                <xdr:row>27</xdr:row>
                <xdr:rowOff>76200</xdr:rowOff>
              </to>
            </anchor>
          </controlPr>
        </control>
      </mc:Choice>
      <mc:Fallback>
        <control shapeId="4179" r:id="rId6" name="CommandButton2"/>
      </mc:Fallback>
    </mc:AlternateContent>
    <mc:AlternateContent xmlns:mc="http://schemas.openxmlformats.org/markup-compatibility/2006">
      <mc:Choice Requires="x14">
        <control shapeId="4174" r:id="rId8" name="ScrollBar1">
          <controlPr defaultSize="0" autoLine="0" r:id="rId9">
            <anchor moveWithCells="1">
              <from>
                <xdr:col>10</xdr:col>
                <xdr:colOff>4171950</xdr:colOff>
                <xdr:row>0</xdr:row>
                <xdr:rowOff>9525</xdr:rowOff>
              </from>
              <to>
                <xdr:col>10</xdr:col>
                <xdr:colOff>4410075</xdr:colOff>
                <xdr:row>18</xdr:row>
                <xdr:rowOff>152400</xdr:rowOff>
              </to>
            </anchor>
          </controlPr>
        </control>
      </mc:Choice>
      <mc:Fallback>
        <control shapeId="4174" r:id="rId8" name="ScrollBar1"/>
      </mc:Fallback>
    </mc:AlternateContent>
    <mc:AlternateContent xmlns:mc="http://schemas.openxmlformats.org/markup-compatibility/2006">
      <mc:Choice Requires="x14">
        <control shapeId="4097" r:id="rId10" name="CommandButton1">
          <controlPr defaultSize="0" autoLine="0" r:id="rId11">
            <anchor moveWithCells="1">
              <from>
                <xdr:col>7</xdr:col>
                <xdr:colOff>76200</xdr:colOff>
                <xdr:row>0</xdr:row>
                <xdr:rowOff>95250</xdr:rowOff>
              </from>
              <to>
                <xdr:col>8</xdr:col>
                <xdr:colOff>476250</xdr:colOff>
                <xdr:row>3</xdr:row>
                <xdr:rowOff>123825</xdr:rowOff>
              </to>
            </anchor>
          </controlPr>
        </control>
      </mc:Choice>
      <mc:Fallback>
        <control shapeId="4097" r:id="rId10" name="CommandButton1"/>
      </mc:Fallback>
    </mc:AlternateContent>
    <mc:AlternateContent xmlns:mc="http://schemas.openxmlformats.org/markup-compatibility/2006">
      <mc:Choice Requires="x14">
        <control shapeId="4175" r:id="rId12" name="CommandButton3">
          <controlPr autoLine="0" autoPict="0" r:id="rId13">
            <anchor moveWithCells="1">
              <from>
                <xdr:col>10</xdr:col>
                <xdr:colOff>1143000</xdr:colOff>
                <xdr:row>21</xdr:row>
                <xdr:rowOff>161925</xdr:rowOff>
              </from>
              <to>
                <xdr:col>10</xdr:col>
                <xdr:colOff>2343150</xdr:colOff>
                <xdr:row>24</xdr:row>
                <xdr:rowOff>133350</xdr:rowOff>
              </to>
            </anchor>
          </controlPr>
        </control>
      </mc:Choice>
      <mc:Fallback>
        <control shapeId="4175" r:id="rId12" name="CommandButton3"/>
      </mc:Fallback>
    </mc:AlternateContent>
    <mc:AlternateContent xmlns:mc="http://schemas.openxmlformats.org/markup-compatibility/2006">
      <mc:Choice Requires="x14">
        <control shapeId="4178" r:id="rId14" name="CommandButton4">
          <controlPr defaultSize="0" autoLine="0" autoPict="0" r:id="rId15">
            <anchor moveWithCells="1">
              <from>
                <xdr:col>7</xdr:col>
                <xdr:colOff>66675</xdr:colOff>
                <xdr:row>10</xdr:row>
                <xdr:rowOff>123825</xdr:rowOff>
              </from>
              <to>
                <xdr:col>8</xdr:col>
                <xdr:colOff>542925</xdr:colOff>
                <xdr:row>13</xdr:row>
                <xdr:rowOff>161925</xdr:rowOff>
              </to>
            </anchor>
          </controlPr>
        </control>
      </mc:Choice>
      <mc:Fallback>
        <control shapeId="4178" r:id="rId14" name="CommandButton4"/>
      </mc:Fallback>
    </mc:AlternateContent>
    <mc:AlternateContent xmlns:mc="http://schemas.openxmlformats.org/markup-compatibility/2006">
      <mc:Choice Requires="x14">
        <control shapeId="4181" r:id="rId16" name="CommandButton6">
          <controlPr defaultSize="0" autoLine="0" r:id="rId17">
            <anchor moveWithCells="1">
              <from>
                <xdr:col>6</xdr:col>
                <xdr:colOff>657225</xdr:colOff>
                <xdr:row>32</xdr:row>
                <xdr:rowOff>9525</xdr:rowOff>
              </from>
              <to>
                <xdr:col>8</xdr:col>
                <xdr:colOff>238125</xdr:colOff>
                <xdr:row>35</xdr:row>
                <xdr:rowOff>9525</xdr:rowOff>
              </to>
            </anchor>
          </controlPr>
        </control>
      </mc:Choice>
      <mc:Fallback>
        <control shapeId="4181" r:id="rId16" name="CommandButton6"/>
      </mc:Fallback>
    </mc:AlternateContent>
    <mc:AlternateContent xmlns:mc="http://schemas.openxmlformats.org/markup-compatibility/2006">
      <mc:Choice Requires="x14">
        <control shapeId="4183" r:id="rId18" name="CommandButton7">
          <controlPr defaultSize="0" autoLine="0" r:id="rId19">
            <anchor moveWithCells="1">
              <from>
                <xdr:col>2</xdr:col>
                <xdr:colOff>323850</xdr:colOff>
                <xdr:row>37</xdr:row>
                <xdr:rowOff>85725</xdr:rowOff>
              </from>
              <to>
                <xdr:col>3</xdr:col>
                <xdr:colOff>771525</xdr:colOff>
                <xdr:row>39</xdr:row>
                <xdr:rowOff>142875</xdr:rowOff>
              </to>
            </anchor>
          </controlPr>
        </control>
      </mc:Choice>
      <mc:Fallback>
        <control shapeId="4183" r:id="rId18" name="CommandButton7"/>
      </mc:Fallback>
    </mc:AlternateContent>
    <mc:AlternateContent xmlns:mc="http://schemas.openxmlformats.org/markup-compatibility/2006">
      <mc:Choice Requires="x14">
        <control shapeId="4184" r:id="rId20" name="CommandButton8">
          <controlPr defaultSize="0" autoLine="0" autoPict="0" r:id="rId21">
            <anchor moveWithCells="1">
              <from>
                <xdr:col>4</xdr:col>
                <xdr:colOff>104775</xdr:colOff>
                <xdr:row>37</xdr:row>
                <xdr:rowOff>47625</xdr:rowOff>
              </from>
              <to>
                <xdr:col>5</xdr:col>
                <xdr:colOff>542925</xdr:colOff>
                <xdr:row>39</xdr:row>
                <xdr:rowOff>123825</xdr:rowOff>
              </to>
            </anchor>
          </controlPr>
        </control>
      </mc:Choice>
      <mc:Fallback>
        <control shapeId="4184" r:id="rId20" name="CommandButton8"/>
      </mc:Fallback>
    </mc:AlternateContent>
    <mc:AlternateContent xmlns:mc="http://schemas.openxmlformats.org/markup-compatibility/2006">
      <mc:Choice Requires="x14">
        <control shapeId="4186" r:id="rId22" name="CommandButton9">
          <controlPr defaultSize="0" autoLine="0" r:id="rId23">
            <anchor moveWithCells="1">
              <from>
                <xdr:col>7</xdr:col>
                <xdr:colOff>47625</xdr:colOff>
                <xdr:row>4</xdr:row>
                <xdr:rowOff>38100</xdr:rowOff>
              </from>
              <to>
                <xdr:col>8</xdr:col>
                <xdr:colOff>457200</xdr:colOff>
                <xdr:row>7</xdr:row>
                <xdr:rowOff>57150</xdr:rowOff>
              </to>
            </anchor>
          </controlPr>
        </control>
      </mc:Choice>
      <mc:Fallback>
        <control shapeId="4186" r:id="rId22" name="CommandButton9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地图和怪物数值!B5:F5</xm:f>
          </x14:formula1>
          <xm:sqref>I10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O62"/>
  <sheetViews>
    <sheetView workbookViewId="0">
      <selection activeCell="O18" sqref="O18"/>
    </sheetView>
  </sheetViews>
  <sheetFormatPr defaultRowHeight="13.5" x14ac:dyDescent="0.15"/>
  <cols>
    <col min="1" max="1" width="12.875" customWidth="1"/>
    <col min="2" max="2" width="11" customWidth="1"/>
    <col min="17" max="17" width="12" customWidth="1"/>
  </cols>
  <sheetData>
    <row r="2" spans="1:15" x14ac:dyDescent="0.15">
      <c r="A2" s="19" t="s">
        <v>45</v>
      </c>
      <c r="B2" s="19">
        <v>0</v>
      </c>
      <c r="C2" s="19">
        <v>10</v>
      </c>
      <c r="D2" s="19">
        <v>20</v>
      </c>
      <c r="E2" s="19">
        <v>30</v>
      </c>
      <c r="F2" s="19">
        <v>40</v>
      </c>
    </row>
    <row r="3" spans="1:15" ht="16.5" customHeight="1" x14ac:dyDescent="0.15">
      <c r="A3" s="19" t="s">
        <v>47</v>
      </c>
      <c r="B3" s="19" t="s">
        <v>49</v>
      </c>
      <c r="C3" s="19" t="s">
        <v>50</v>
      </c>
      <c r="D3" s="19" t="s">
        <v>51</v>
      </c>
      <c r="E3" s="19" t="s">
        <v>52</v>
      </c>
      <c r="F3" s="19" t="s">
        <v>53</v>
      </c>
    </row>
    <row r="5" spans="1:15" x14ac:dyDescent="0.15">
      <c r="A5" s="20" t="s">
        <v>46</v>
      </c>
      <c r="B5" s="20" t="s">
        <v>48</v>
      </c>
      <c r="C5" s="20" t="s">
        <v>50</v>
      </c>
      <c r="D5" s="20"/>
      <c r="E5" s="20"/>
      <c r="F5" s="20"/>
    </row>
    <row r="7" spans="1:15" x14ac:dyDescent="0.15">
      <c r="A7" s="9" t="s">
        <v>41</v>
      </c>
      <c r="B7" s="9" t="s">
        <v>21</v>
      </c>
      <c r="C7" s="9" t="s">
        <v>22</v>
      </c>
      <c r="D7" s="9" t="s">
        <v>23</v>
      </c>
      <c r="E7" s="9" t="s">
        <v>24</v>
      </c>
      <c r="F7" s="9" t="s">
        <v>25</v>
      </c>
      <c r="G7" s="9" t="s">
        <v>26</v>
      </c>
      <c r="H7" s="9" t="s">
        <v>27</v>
      </c>
      <c r="I7" s="9" t="s">
        <v>28</v>
      </c>
      <c r="J7" s="9" t="s">
        <v>40</v>
      </c>
      <c r="K7" s="9" t="s">
        <v>43</v>
      </c>
      <c r="N7" s="9" t="s">
        <v>41</v>
      </c>
      <c r="O7">
        <v>12</v>
      </c>
    </row>
    <row r="8" spans="1:15" x14ac:dyDescent="0.15">
      <c r="A8" s="18">
        <v>1</v>
      </c>
      <c r="B8" s="18">
        <v>15</v>
      </c>
      <c r="C8" s="18">
        <v>8</v>
      </c>
      <c r="D8" s="18">
        <v>5</v>
      </c>
      <c r="E8" s="18">
        <v>2</v>
      </c>
      <c r="F8" s="18">
        <v>4</v>
      </c>
      <c r="G8" s="18">
        <v>2</v>
      </c>
      <c r="H8" s="18">
        <v>0</v>
      </c>
      <c r="I8" s="18">
        <v>0</v>
      </c>
      <c r="J8" s="18">
        <v>0</v>
      </c>
      <c r="K8" s="23" t="s">
        <v>137</v>
      </c>
      <c r="N8" s="9" t="s">
        <v>21</v>
      </c>
      <c r="O8">
        <f>VLOOKUP(O7,A7:K62,2,FALSE)</f>
        <v>224</v>
      </c>
    </row>
    <row r="9" spans="1:15" x14ac:dyDescent="0.15">
      <c r="A9" s="18">
        <v>2</v>
      </c>
      <c r="B9" s="18">
        <v>30</v>
      </c>
      <c r="C9" s="18">
        <v>17</v>
      </c>
      <c r="D9" s="18">
        <v>10</v>
      </c>
      <c r="E9" s="18">
        <v>5</v>
      </c>
      <c r="F9" s="18">
        <v>8</v>
      </c>
      <c r="G9" s="18">
        <v>4</v>
      </c>
      <c r="H9" s="18">
        <v>1</v>
      </c>
      <c r="I9" s="18">
        <v>0</v>
      </c>
      <c r="J9" s="18">
        <v>0</v>
      </c>
      <c r="K9" s="23" t="s">
        <v>137</v>
      </c>
      <c r="N9" s="9" t="s">
        <v>22</v>
      </c>
      <c r="O9">
        <f>VLOOKUP(O7,A7:K62,3,FALSE)</f>
        <v>161</v>
      </c>
    </row>
    <row r="10" spans="1:15" x14ac:dyDescent="0.15">
      <c r="A10" s="18">
        <v>3</v>
      </c>
      <c r="B10" s="18">
        <v>45</v>
      </c>
      <c r="C10" s="18">
        <v>25</v>
      </c>
      <c r="D10" s="18">
        <v>15</v>
      </c>
      <c r="E10" s="18">
        <v>8</v>
      </c>
      <c r="F10" s="18">
        <v>12</v>
      </c>
      <c r="G10" s="18">
        <v>7</v>
      </c>
      <c r="H10" s="18">
        <v>2</v>
      </c>
      <c r="I10" s="18">
        <v>0</v>
      </c>
      <c r="J10" s="18">
        <v>0</v>
      </c>
      <c r="K10" s="23" t="s">
        <v>137</v>
      </c>
      <c r="N10" s="9" t="s">
        <v>23</v>
      </c>
      <c r="O10">
        <f>VLOOKUP(O7,A7:K62,4,FALSE)</f>
        <v>85</v>
      </c>
    </row>
    <row r="11" spans="1:15" x14ac:dyDescent="0.15">
      <c r="A11" s="18">
        <v>4</v>
      </c>
      <c r="B11" s="18">
        <v>60</v>
      </c>
      <c r="C11" s="18">
        <v>34</v>
      </c>
      <c r="D11" s="18">
        <v>21</v>
      </c>
      <c r="E11" s="18">
        <v>11</v>
      </c>
      <c r="F11" s="18">
        <v>17</v>
      </c>
      <c r="G11" s="18">
        <v>9</v>
      </c>
      <c r="H11" s="18">
        <v>2</v>
      </c>
      <c r="I11" s="18">
        <v>0</v>
      </c>
      <c r="J11" s="18">
        <v>0</v>
      </c>
      <c r="K11" s="23" t="s">
        <v>137</v>
      </c>
      <c r="N11" s="9" t="s">
        <v>24</v>
      </c>
      <c r="O11">
        <f>VLOOKUP(O7,A7:K62,5,FALSE)</f>
        <v>80</v>
      </c>
    </row>
    <row r="12" spans="1:15" x14ac:dyDescent="0.15">
      <c r="A12" s="18">
        <v>5</v>
      </c>
      <c r="B12" s="18">
        <v>76</v>
      </c>
      <c r="C12" s="18">
        <v>42</v>
      </c>
      <c r="D12" s="18">
        <v>26</v>
      </c>
      <c r="E12" s="18">
        <v>14</v>
      </c>
      <c r="F12" s="18">
        <v>21</v>
      </c>
      <c r="G12" s="18">
        <v>12</v>
      </c>
      <c r="H12" s="18">
        <v>3</v>
      </c>
      <c r="I12" s="18">
        <v>1</v>
      </c>
      <c r="J12" s="18">
        <v>0</v>
      </c>
      <c r="K12" s="23" t="s">
        <v>137</v>
      </c>
      <c r="N12" s="9" t="s">
        <v>25</v>
      </c>
      <c r="O12">
        <f>VLOOKUP(O7,A7:K62,6,FALSE)</f>
        <v>75</v>
      </c>
    </row>
    <row r="13" spans="1:15" x14ac:dyDescent="0.15">
      <c r="A13" s="18">
        <v>6</v>
      </c>
      <c r="B13" s="18">
        <v>91</v>
      </c>
      <c r="C13" s="18">
        <v>51</v>
      </c>
      <c r="D13" s="18">
        <v>31</v>
      </c>
      <c r="E13" s="18">
        <v>17</v>
      </c>
      <c r="F13" s="18">
        <v>25</v>
      </c>
      <c r="G13" s="18">
        <v>14</v>
      </c>
      <c r="H13" s="18">
        <v>4</v>
      </c>
      <c r="I13" s="18">
        <v>1</v>
      </c>
      <c r="J13" s="18">
        <v>0</v>
      </c>
      <c r="K13" s="23" t="s">
        <v>137</v>
      </c>
      <c r="N13" s="9" t="s">
        <v>26</v>
      </c>
      <c r="O13">
        <f>VLOOKUP(O7,A7:K62,7,FALSE)</f>
        <v>172</v>
      </c>
    </row>
    <row r="14" spans="1:15" x14ac:dyDescent="0.15">
      <c r="A14" s="18">
        <v>7</v>
      </c>
      <c r="B14" s="18">
        <v>106</v>
      </c>
      <c r="C14" s="18">
        <v>59</v>
      </c>
      <c r="D14" s="18">
        <v>37</v>
      </c>
      <c r="E14" s="18">
        <v>20</v>
      </c>
      <c r="F14" s="18">
        <v>29</v>
      </c>
      <c r="G14" s="18">
        <v>16</v>
      </c>
      <c r="H14" s="18">
        <v>5</v>
      </c>
      <c r="I14" s="18">
        <v>1</v>
      </c>
      <c r="J14" s="18">
        <v>0</v>
      </c>
      <c r="K14" s="23" t="s">
        <v>137</v>
      </c>
      <c r="N14" s="9" t="s">
        <v>27</v>
      </c>
      <c r="O14">
        <f>VLOOKUP(O7,A7:K62,8,FALSE)</f>
        <v>51</v>
      </c>
    </row>
    <row r="15" spans="1:15" x14ac:dyDescent="0.15">
      <c r="A15" s="18">
        <v>8</v>
      </c>
      <c r="B15" s="18">
        <v>121</v>
      </c>
      <c r="C15" s="18">
        <v>68</v>
      </c>
      <c r="D15" s="18">
        <v>42</v>
      </c>
      <c r="E15" s="18">
        <v>23</v>
      </c>
      <c r="F15" s="18">
        <v>34</v>
      </c>
      <c r="G15" s="18">
        <v>19</v>
      </c>
      <c r="H15" s="18">
        <v>5</v>
      </c>
      <c r="I15" s="18">
        <v>1</v>
      </c>
      <c r="J15" s="18">
        <v>0</v>
      </c>
      <c r="K15" s="23" t="s">
        <v>137</v>
      </c>
      <c r="N15" s="9" t="s">
        <v>28</v>
      </c>
      <c r="O15">
        <f>VLOOKUP(O7,A7:K62,9,FALSE)</f>
        <v>17</v>
      </c>
    </row>
    <row r="16" spans="1:15" x14ac:dyDescent="0.15">
      <c r="A16" s="18">
        <v>9</v>
      </c>
      <c r="B16" s="18">
        <v>136</v>
      </c>
      <c r="C16" s="18">
        <v>77</v>
      </c>
      <c r="D16" s="18">
        <v>47</v>
      </c>
      <c r="E16" s="18">
        <v>25</v>
      </c>
      <c r="F16" s="18">
        <v>38</v>
      </c>
      <c r="G16" s="18">
        <v>21</v>
      </c>
      <c r="H16" s="18">
        <v>6</v>
      </c>
      <c r="I16" s="18">
        <v>2</v>
      </c>
      <c r="J16" s="18">
        <v>0</v>
      </c>
      <c r="K16" s="23" t="s">
        <v>137</v>
      </c>
      <c r="N16" s="9" t="s">
        <v>40</v>
      </c>
      <c r="O16">
        <f>VLOOKUP(O7,A7:K62,10,FALSE)</f>
        <v>2</v>
      </c>
    </row>
    <row r="17" spans="1:15" x14ac:dyDescent="0.15">
      <c r="A17" s="17">
        <v>10</v>
      </c>
      <c r="B17" s="17">
        <v>304</v>
      </c>
      <c r="C17" s="17">
        <v>171</v>
      </c>
      <c r="D17" s="17">
        <v>106</v>
      </c>
      <c r="E17" s="17">
        <v>57</v>
      </c>
      <c r="F17" s="17">
        <v>85</v>
      </c>
      <c r="G17" s="17">
        <v>48</v>
      </c>
      <c r="H17" s="17">
        <v>14</v>
      </c>
      <c r="I17" s="17">
        <v>4</v>
      </c>
      <c r="J17" s="17">
        <v>0</v>
      </c>
      <c r="K17" s="8" t="s">
        <v>137</v>
      </c>
      <c r="N17" s="9" t="s">
        <v>43</v>
      </c>
      <c r="O17" t="str">
        <f>VLOOKUP(O7,A7:K62,11,FALSE)</f>
        <v>物理攻击</v>
      </c>
    </row>
    <row r="18" spans="1:15" x14ac:dyDescent="0.15">
      <c r="A18" s="18">
        <v>11</v>
      </c>
      <c r="B18" s="18">
        <v>205</v>
      </c>
      <c r="C18" s="18">
        <v>147</v>
      </c>
      <c r="D18" s="18">
        <v>78</v>
      </c>
      <c r="E18" s="18">
        <v>73</v>
      </c>
      <c r="F18" s="18">
        <v>69</v>
      </c>
      <c r="G18" s="18">
        <v>158</v>
      </c>
      <c r="H18" s="18">
        <v>47</v>
      </c>
      <c r="I18" s="18">
        <v>15</v>
      </c>
      <c r="J18" s="18">
        <v>2</v>
      </c>
      <c r="K18" s="23" t="s">
        <v>137</v>
      </c>
      <c r="N18" s="9" t="s">
        <v>57</v>
      </c>
      <c r="O18">
        <f>VLOOKUP(O7,经验表!A1:G51,7,FALSE)</f>
        <v>2442</v>
      </c>
    </row>
    <row r="19" spans="1:15" x14ac:dyDescent="0.15">
      <c r="A19" s="18">
        <v>12</v>
      </c>
      <c r="B19" s="18">
        <v>224</v>
      </c>
      <c r="C19" s="18">
        <v>161</v>
      </c>
      <c r="D19" s="18">
        <v>85</v>
      </c>
      <c r="E19" s="18">
        <v>80</v>
      </c>
      <c r="F19" s="18">
        <v>75</v>
      </c>
      <c r="G19" s="18">
        <v>172</v>
      </c>
      <c r="H19" s="18">
        <v>51</v>
      </c>
      <c r="I19" s="18">
        <v>17</v>
      </c>
      <c r="J19" s="18">
        <v>2</v>
      </c>
      <c r="K19" s="23" t="s">
        <v>137</v>
      </c>
    </row>
    <row r="20" spans="1:15" x14ac:dyDescent="0.15">
      <c r="A20" s="18">
        <v>13</v>
      </c>
      <c r="B20" s="18">
        <v>243</v>
      </c>
      <c r="C20" s="18">
        <v>174</v>
      </c>
      <c r="D20" s="18">
        <v>92</v>
      </c>
      <c r="E20" s="18">
        <v>87</v>
      </c>
      <c r="F20" s="18">
        <v>82</v>
      </c>
      <c r="G20" s="18">
        <v>187</v>
      </c>
      <c r="H20" s="18">
        <v>56</v>
      </c>
      <c r="I20" s="18">
        <v>18</v>
      </c>
      <c r="J20" s="18">
        <v>3</v>
      </c>
      <c r="K20" s="23" t="s">
        <v>137</v>
      </c>
    </row>
    <row r="21" spans="1:15" x14ac:dyDescent="0.15">
      <c r="A21" s="18">
        <v>14</v>
      </c>
      <c r="B21" s="18">
        <v>262</v>
      </c>
      <c r="C21" s="18">
        <v>188</v>
      </c>
      <c r="D21" s="18">
        <v>99</v>
      </c>
      <c r="E21" s="18">
        <v>94</v>
      </c>
      <c r="F21" s="18">
        <v>88</v>
      </c>
      <c r="G21" s="18">
        <v>201</v>
      </c>
      <c r="H21" s="18">
        <v>60</v>
      </c>
      <c r="I21" s="18">
        <v>20</v>
      </c>
      <c r="J21" s="18">
        <v>3</v>
      </c>
      <c r="K21" s="23" t="s">
        <v>137</v>
      </c>
    </row>
    <row r="22" spans="1:15" x14ac:dyDescent="0.15">
      <c r="A22" s="18">
        <v>15</v>
      </c>
      <c r="B22" s="18">
        <v>280</v>
      </c>
      <c r="C22" s="18">
        <v>201</v>
      </c>
      <c r="D22" s="18">
        <v>106</v>
      </c>
      <c r="E22" s="18">
        <v>100</v>
      </c>
      <c r="F22" s="18">
        <v>94</v>
      </c>
      <c r="G22" s="18">
        <v>216</v>
      </c>
      <c r="H22" s="18">
        <v>64</v>
      </c>
      <c r="I22" s="18">
        <v>21</v>
      </c>
      <c r="J22" s="18">
        <v>3</v>
      </c>
      <c r="K22" s="23" t="s">
        <v>137</v>
      </c>
    </row>
    <row r="23" spans="1:15" x14ac:dyDescent="0.15">
      <c r="A23" s="18">
        <v>16</v>
      </c>
      <c r="B23" s="18">
        <v>299</v>
      </c>
      <c r="C23" s="18">
        <v>215</v>
      </c>
      <c r="D23" s="18">
        <v>113</v>
      </c>
      <c r="E23" s="18">
        <v>107</v>
      </c>
      <c r="F23" s="18">
        <v>101</v>
      </c>
      <c r="G23" s="18">
        <v>230</v>
      </c>
      <c r="H23" s="18">
        <v>69</v>
      </c>
      <c r="I23" s="18">
        <v>23</v>
      </c>
      <c r="J23" s="18">
        <v>3</v>
      </c>
      <c r="K23" s="23" t="s">
        <v>137</v>
      </c>
    </row>
    <row r="24" spans="1:15" x14ac:dyDescent="0.15">
      <c r="A24" s="18">
        <v>17</v>
      </c>
      <c r="B24" s="18">
        <v>318</v>
      </c>
      <c r="C24" s="18">
        <v>228</v>
      </c>
      <c r="D24" s="18">
        <v>121</v>
      </c>
      <c r="E24" s="18">
        <v>114</v>
      </c>
      <c r="F24" s="18">
        <v>107</v>
      </c>
      <c r="G24" s="18">
        <v>244</v>
      </c>
      <c r="H24" s="18">
        <v>73</v>
      </c>
      <c r="I24" s="18">
        <v>24</v>
      </c>
      <c r="J24" s="18">
        <v>4</v>
      </c>
      <c r="K24" s="23" t="s">
        <v>137</v>
      </c>
    </row>
    <row r="25" spans="1:15" x14ac:dyDescent="0.15">
      <c r="A25" s="18">
        <v>18</v>
      </c>
      <c r="B25" s="18">
        <v>336</v>
      </c>
      <c r="C25" s="18">
        <v>241</v>
      </c>
      <c r="D25" s="18">
        <v>128</v>
      </c>
      <c r="E25" s="18">
        <v>120</v>
      </c>
      <c r="F25" s="18">
        <v>113</v>
      </c>
      <c r="G25" s="18">
        <v>259</v>
      </c>
      <c r="H25" s="18">
        <v>77</v>
      </c>
      <c r="I25" s="18">
        <v>25</v>
      </c>
      <c r="J25" s="18">
        <v>4</v>
      </c>
      <c r="K25" s="23" t="s">
        <v>137</v>
      </c>
    </row>
    <row r="26" spans="1:15" x14ac:dyDescent="0.15">
      <c r="A26" s="18">
        <v>19</v>
      </c>
      <c r="B26" s="18">
        <v>355</v>
      </c>
      <c r="C26" s="18">
        <v>255</v>
      </c>
      <c r="D26" s="18">
        <v>135</v>
      </c>
      <c r="E26" s="18">
        <v>127</v>
      </c>
      <c r="F26" s="18">
        <v>120</v>
      </c>
      <c r="G26" s="18">
        <v>273</v>
      </c>
      <c r="H26" s="18">
        <v>82</v>
      </c>
      <c r="I26" s="18">
        <v>27</v>
      </c>
      <c r="J26" s="18">
        <v>4</v>
      </c>
      <c r="K26" s="23" t="s">
        <v>137</v>
      </c>
    </row>
    <row r="27" spans="1:15" x14ac:dyDescent="0.15">
      <c r="A27" s="17">
        <v>20</v>
      </c>
      <c r="B27" s="17">
        <v>561</v>
      </c>
      <c r="C27" s="17">
        <v>403</v>
      </c>
      <c r="D27" s="17">
        <v>213</v>
      </c>
      <c r="E27" s="17">
        <v>201</v>
      </c>
      <c r="F27" s="17">
        <v>189</v>
      </c>
      <c r="G27" s="17">
        <v>432</v>
      </c>
      <c r="H27" s="17">
        <v>129</v>
      </c>
      <c r="I27" s="17">
        <v>43</v>
      </c>
      <c r="J27" s="17">
        <v>7</v>
      </c>
      <c r="K27" s="8" t="s">
        <v>137</v>
      </c>
    </row>
    <row r="28" spans="1:15" x14ac:dyDescent="0.15">
      <c r="A28" s="18">
        <v>21</v>
      </c>
      <c r="B28" s="18">
        <v>264</v>
      </c>
      <c r="C28" s="18">
        <v>241</v>
      </c>
      <c r="D28" s="18">
        <v>118</v>
      </c>
      <c r="E28" s="18">
        <v>725</v>
      </c>
      <c r="F28" s="18">
        <v>209</v>
      </c>
      <c r="G28" s="18">
        <v>302</v>
      </c>
      <c r="H28" s="18">
        <v>90</v>
      </c>
      <c r="I28" s="18">
        <v>30</v>
      </c>
      <c r="J28" s="18">
        <v>5</v>
      </c>
      <c r="K28" s="23" t="s">
        <v>140</v>
      </c>
    </row>
    <row r="29" spans="1:15" x14ac:dyDescent="0.15">
      <c r="A29" s="18">
        <v>22</v>
      </c>
      <c r="B29" s="18">
        <v>277</v>
      </c>
      <c r="C29" s="18">
        <v>253</v>
      </c>
      <c r="D29" s="18">
        <v>124</v>
      </c>
      <c r="E29" s="18">
        <v>760</v>
      </c>
      <c r="F29" s="18">
        <v>219</v>
      </c>
      <c r="G29" s="18">
        <v>316</v>
      </c>
      <c r="H29" s="18">
        <v>95</v>
      </c>
      <c r="I29" s="18">
        <v>31</v>
      </c>
      <c r="J29" s="18">
        <v>5</v>
      </c>
      <c r="K29" s="23" t="s">
        <v>140</v>
      </c>
    </row>
    <row r="30" spans="1:15" x14ac:dyDescent="0.15">
      <c r="A30" s="18">
        <v>23</v>
      </c>
      <c r="B30" s="18">
        <v>289</v>
      </c>
      <c r="C30" s="18">
        <v>264</v>
      </c>
      <c r="D30" s="18">
        <v>129</v>
      </c>
      <c r="E30" s="18">
        <v>794</v>
      </c>
      <c r="F30" s="18">
        <v>229</v>
      </c>
      <c r="G30" s="18">
        <v>331</v>
      </c>
      <c r="H30" s="18">
        <v>99</v>
      </c>
      <c r="I30" s="18">
        <v>33</v>
      </c>
      <c r="J30" s="18">
        <v>5</v>
      </c>
      <c r="K30" s="23" t="s">
        <v>140</v>
      </c>
    </row>
    <row r="31" spans="1:15" x14ac:dyDescent="0.15">
      <c r="A31" s="18">
        <v>24</v>
      </c>
      <c r="B31" s="18">
        <v>302</v>
      </c>
      <c r="C31" s="18">
        <v>276</v>
      </c>
      <c r="D31" s="18">
        <v>135</v>
      </c>
      <c r="E31" s="18">
        <v>829</v>
      </c>
      <c r="F31" s="18">
        <v>239</v>
      </c>
      <c r="G31" s="18">
        <v>345</v>
      </c>
      <c r="H31" s="18">
        <v>103</v>
      </c>
      <c r="I31" s="18">
        <v>34</v>
      </c>
      <c r="J31" s="18">
        <v>5</v>
      </c>
      <c r="K31" s="23" t="s">
        <v>140</v>
      </c>
    </row>
    <row r="32" spans="1:15" x14ac:dyDescent="0.15">
      <c r="A32" s="18">
        <v>25</v>
      </c>
      <c r="B32" s="18">
        <v>315</v>
      </c>
      <c r="C32" s="18">
        <v>288</v>
      </c>
      <c r="D32" s="18">
        <v>141</v>
      </c>
      <c r="E32" s="18">
        <v>864</v>
      </c>
      <c r="F32" s="18">
        <v>249</v>
      </c>
      <c r="G32" s="18">
        <v>360</v>
      </c>
      <c r="H32" s="18">
        <v>108</v>
      </c>
      <c r="I32" s="18">
        <v>36</v>
      </c>
      <c r="J32" s="18">
        <v>6</v>
      </c>
      <c r="K32" s="23" t="s">
        <v>140</v>
      </c>
    </row>
    <row r="33" spans="1:11" x14ac:dyDescent="0.15">
      <c r="A33" s="18">
        <v>26</v>
      </c>
      <c r="B33" s="18">
        <v>327</v>
      </c>
      <c r="C33" s="18">
        <v>299</v>
      </c>
      <c r="D33" s="18">
        <v>146</v>
      </c>
      <c r="E33" s="18">
        <v>898</v>
      </c>
      <c r="F33" s="18">
        <v>258</v>
      </c>
      <c r="G33" s="18">
        <v>374</v>
      </c>
      <c r="H33" s="18">
        <v>112</v>
      </c>
      <c r="I33" s="18">
        <v>37</v>
      </c>
      <c r="J33" s="18">
        <v>6</v>
      </c>
      <c r="K33" s="23" t="s">
        <v>140</v>
      </c>
    </row>
    <row r="34" spans="1:11" x14ac:dyDescent="0.15">
      <c r="A34" s="18">
        <v>27</v>
      </c>
      <c r="B34" s="18">
        <v>340</v>
      </c>
      <c r="C34" s="18">
        <v>311</v>
      </c>
      <c r="D34" s="18">
        <v>152</v>
      </c>
      <c r="E34" s="18">
        <v>933</v>
      </c>
      <c r="F34" s="18">
        <v>268</v>
      </c>
      <c r="G34" s="18">
        <v>388</v>
      </c>
      <c r="H34" s="18">
        <v>116</v>
      </c>
      <c r="I34" s="18">
        <v>38</v>
      </c>
      <c r="J34" s="18">
        <v>6</v>
      </c>
      <c r="K34" s="23" t="s">
        <v>140</v>
      </c>
    </row>
    <row r="35" spans="1:11" x14ac:dyDescent="0.15">
      <c r="A35" s="18">
        <v>28</v>
      </c>
      <c r="B35" s="18">
        <v>352</v>
      </c>
      <c r="C35" s="18">
        <v>322</v>
      </c>
      <c r="D35" s="18">
        <v>157</v>
      </c>
      <c r="E35" s="18">
        <v>967</v>
      </c>
      <c r="F35" s="18">
        <v>278</v>
      </c>
      <c r="G35" s="18">
        <v>403</v>
      </c>
      <c r="H35" s="18">
        <v>120</v>
      </c>
      <c r="I35" s="18">
        <v>40</v>
      </c>
      <c r="J35" s="18">
        <v>6</v>
      </c>
      <c r="K35" s="23" t="s">
        <v>140</v>
      </c>
    </row>
    <row r="36" spans="1:11" x14ac:dyDescent="0.15">
      <c r="A36" s="18">
        <v>29</v>
      </c>
      <c r="B36" s="18">
        <v>365</v>
      </c>
      <c r="C36" s="18">
        <v>334</v>
      </c>
      <c r="D36" s="18">
        <v>163</v>
      </c>
      <c r="E36" s="18">
        <v>1002</v>
      </c>
      <c r="F36" s="18">
        <v>288</v>
      </c>
      <c r="G36" s="18">
        <v>417</v>
      </c>
      <c r="H36" s="18">
        <v>125</v>
      </c>
      <c r="I36" s="18">
        <v>41</v>
      </c>
      <c r="J36" s="18">
        <v>6</v>
      </c>
      <c r="K36" s="23" t="s">
        <v>140</v>
      </c>
    </row>
    <row r="37" spans="1:11" x14ac:dyDescent="0.15">
      <c r="A37" s="17">
        <v>30</v>
      </c>
      <c r="B37" s="17">
        <v>504</v>
      </c>
      <c r="C37" s="17">
        <v>460</v>
      </c>
      <c r="D37" s="17">
        <v>225</v>
      </c>
      <c r="E37" s="17">
        <v>1382</v>
      </c>
      <c r="F37" s="17">
        <v>398</v>
      </c>
      <c r="G37" s="17">
        <v>576</v>
      </c>
      <c r="H37" s="17">
        <v>172</v>
      </c>
      <c r="I37" s="17">
        <v>57</v>
      </c>
      <c r="J37" s="17">
        <v>9</v>
      </c>
      <c r="K37" s="8" t="s">
        <v>140</v>
      </c>
    </row>
    <row r="38" spans="1:11" x14ac:dyDescent="0.15">
      <c r="A38" s="18">
        <v>31</v>
      </c>
      <c r="B38" s="18">
        <v>1884</v>
      </c>
      <c r="C38" s="18">
        <v>1061</v>
      </c>
      <c r="D38" s="18">
        <v>659</v>
      </c>
      <c r="E38" s="18">
        <v>357</v>
      </c>
      <c r="F38" s="18">
        <v>530</v>
      </c>
      <c r="G38" s="18">
        <v>297</v>
      </c>
      <c r="H38" s="18">
        <v>89</v>
      </c>
      <c r="I38" s="18">
        <v>29</v>
      </c>
      <c r="J38" s="18">
        <v>4</v>
      </c>
      <c r="K38" s="23" t="s">
        <v>137</v>
      </c>
    </row>
    <row r="39" spans="1:11" x14ac:dyDescent="0.15">
      <c r="A39" s="18">
        <v>32</v>
      </c>
      <c r="B39" s="18">
        <v>1945</v>
      </c>
      <c r="C39" s="18">
        <v>1095</v>
      </c>
      <c r="D39" s="18">
        <v>680</v>
      </c>
      <c r="E39" s="18">
        <v>368</v>
      </c>
      <c r="F39" s="18">
        <v>547</v>
      </c>
      <c r="G39" s="18">
        <v>307</v>
      </c>
      <c r="H39" s="18">
        <v>92</v>
      </c>
      <c r="I39" s="18">
        <v>30</v>
      </c>
      <c r="J39" s="18">
        <v>5</v>
      </c>
      <c r="K39" s="23" t="s">
        <v>137</v>
      </c>
    </row>
    <row r="40" spans="1:11" x14ac:dyDescent="0.15">
      <c r="A40" s="18">
        <v>33</v>
      </c>
      <c r="B40" s="18">
        <v>2006</v>
      </c>
      <c r="C40" s="18">
        <v>1129</v>
      </c>
      <c r="D40" s="18">
        <v>702</v>
      </c>
      <c r="E40" s="18">
        <v>380</v>
      </c>
      <c r="F40" s="18">
        <v>564</v>
      </c>
      <c r="G40" s="18">
        <v>316</v>
      </c>
      <c r="H40" s="18">
        <v>95</v>
      </c>
      <c r="I40" s="18">
        <v>31</v>
      </c>
      <c r="J40" s="18">
        <v>5</v>
      </c>
      <c r="K40" s="23" t="s">
        <v>137</v>
      </c>
    </row>
    <row r="41" spans="1:11" x14ac:dyDescent="0.15">
      <c r="A41" s="18">
        <v>34</v>
      </c>
      <c r="B41" s="18">
        <v>2067</v>
      </c>
      <c r="C41" s="18">
        <v>1164</v>
      </c>
      <c r="D41" s="18">
        <v>723</v>
      </c>
      <c r="E41" s="18">
        <v>391</v>
      </c>
      <c r="F41" s="18">
        <v>582</v>
      </c>
      <c r="G41" s="18">
        <v>326</v>
      </c>
      <c r="H41" s="18">
        <v>97</v>
      </c>
      <c r="I41" s="18">
        <v>32</v>
      </c>
      <c r="J41" s="18">
        <v>5</v>
      </c>
      <c r="K41" s="23" t="s">
        <v>137</v>
      </c>
    </row>
    <row r="42" spans="1:11" x14ac:dyDescent="0.15">
      <c r="A42" s="18">
        <v>35</v>
      </c>
      <c r="B42" s="18">
        <v>2128</v>
      </c>
      <c r="C42" s="18">
        <v>1198</v>
      </c>
      <c r="D42" s="18">
        <v>744</v>
      </c>
      <c r="E42" s="18">
        <v>403</v>
      </c>
      <c r="F42" s="18">
        <v>599</v>
      </c>
      <c r="G42" s="18">
        <v>336</v>
      </c>
      <c r="H42" s="18">
        <v>100</v>
      </c>
      <c r="I42" s="18">
        <v>33</v>
      </c>
      <c r="J42" s="18">
        <v>5</v>
      </c>
      <c r="K42" s="23" t="s">
        <v>137</v>
      </c>
    </row>
    <row r="43" spans="1:11" x14ac:dyDescent="0.15">
      <c r="A43" s="18">
        <v>36</v>
      </c>
      <c r="B43" s="18">
        <v>2188</v>
      </c>
      <c r="C43" s="18">
        <v>1232</v>
      </c>
      <c r="D43" s="18">
        <v>766</v>
      </c>
      <c r="E43" s="18">
        <v>414</v>
      </c>
      <c r="F43" s="18">
        <v>616</v>
      </c>
      <c r="G43" s="18">
        <v>345</v>
      </c>
      <c r="H43" s="18">
        <v>103</v>
      </c>
      <c r="I43" s="18">
        <v>34</v>
      </c>
      <c r="J43" s="18">
        <v>5</v>
      </c>
      <c r="K43" s="23" t="s">
        <v>137</v>
      </c>
    </row>
    <row r="44" spans="1:11" x14ac:dyDescent="0.15">
      <c r="A44" s="18">
        <v>37</v>
      </c>
      <c r="B44" s="18">
        <v>2249</v>
      </c>
      <c r="C44" s="18">
        <v>1266</v>
      </c>
      <c r="D44" s="18">
        <v>787</v>
      </c>
      <c r="E44" s="18">
        <v>426</v>
      </c>
      <c r="F44" s="18">
        <v>633</v>
      </c>
      <c r="G44" s="18">
        <v>355</v>
      </c>
      <c r="H44" s="18">
        <v>106</v>
      </c>
      <c r="I44" s="18">
        <v>35</v>
      </c>
      <c r="J44" s="18">
        <v>5</v>
      </c>
      <c r="K44" s="23" t="s">
        <v>137</v>
      </c>
    </row>
    <row r="45" spans="1:11" x14ac:dyDescent="0.15">
      <c r="A45" s="18">
        <v>38</v>
      </c>
      <c r="B45" s="18">
        <v>2310</v>
      </c>
      <c r="C45" s="18">
        <v>1301</v>
      </c>
      <c r="D45" s="18">
        <v>808</v>
      </c>
      <c r="E45" s="18">
        <v>437</v>
      </c>
      <c r="F45" s="18">
        <v>650</v>
      </c>
      <c r="G45" s="18">
        <v>364</v>
      </c>
      <c r="H45" s="18">
        <v>109</v>
      </c>
      <c r="I45" s="18">
        <v>36</v>
      </c>
      <c r="J45" s="18">
        <v>6</v>
      </c>
      <c r="K45" s="23" t="s">
        <v>137</v>
      </c>
    </row>
    <row r="46" spans="1:11" x14ac:dyDescent="0.15">
      <c r="A46" s="18">
        <v>39</v>
      </c>
      <c r="B46" s="18">
        <v>2371</v>
      </c>
      <c r="C46" s="18">
        <v>1335</v>
      </c>
      <c r="D46" s="18">
        <v>829</v>
      </c>
      <c r="E46" s="18">
        <v>449</v>
      </c>
      <c r="F46" s="18">
        <v>667</v>
      </c>
      <c r="G46" s="18">
        <v>374</v>
      </c>
      <c r="H46" s="18">
        <v>112</v>
      </c>
      <c r="I46" s="18">
        <v>37</v>
      </c>
      <c r="J46" s="18">
        <v>6</v>
      </c>
      <c r="K46" s="23" t="s">
        <v>137</v>
      </c>
    </row>
    <row r="47" spans="1:11" x14ac:dyDescent="0.15">
      <c r="A47" s="17">
        <v>40</v>
      </c>
      <c r="B47" s="17">
        <v>3040</v>
      </c>
      <c r="C47" s="17">
        <v>1712</v>
      </c>
      <c r="D47" s="17">
        <v>1064</v>
      </c>
      <c r="E47" s="17">
        <v>576</v>
      </c>
      <c r="F47" s="17">
        <v>856</v>
      </c>
      <c r="G47" s="17">
        <v>480</v>
      </c>
      <c r="H47" s="17">
        <v>144</v>
      </c>
      <c r="I47" s="17">
        <v>48</v>
      </c>
      <c r="J47" s="17">
        <v>8</v>
      </c>
      <c r="K47" s="8" t="s">
        <v>137</v>
      </c>
    </row>
    <row r="48" spans="1:11" x14ac:dyDescent="0.15">
      <c r="A48" s="18">
        <v>41</v>
      </c>
      <c r="B48" s="18">
        <v>1918</v>
      </c>
      <c r="C48" s="18">
        <v>1377</v>
      </c>
      <c r="D48" s="18">
        <v>729</v>
      </c>
      <c r="E48" s="18">
        <v>688</v>
      </c>
      <c r="F48" s="18">
        <v>647</v>
      </c>
      <c r="G48" s="18">
        <v>1476</v>
      </c>
      <c r="H48" s="18">
        <v>442</v>
      </c>
      <c r="I48" s="18">
        <v>147</v>
      </c>
      <c r="J48" s="18">
        <v>24</v>
      </c>
      <c r="K48" s="23" t="s">
        <v>137</v>
      </c>
    </row>
    <row r="49" spans="1:14" x14ac:dyDescent="0.15">
      <c r="A49" s="18">
        <v>42</v>
      </c>
      <c r="B49" s="18">
        <v>1965</v>
      </c>
      <c r="C49" s="18">
        <v>1411</v>
      </c>
      <c r="D49" s="18">
        <v>747</v>
      </c>
      <c r="E49" s="18">
        <v>705</v>
      </c>
      <c r="F49" s="18">
        <v>663</v>
      </c>
      <c r="G49" s="18">
        <v>1512</v>
      </c>
      <c r="H49" s="18">
        <v>453</v>
      </c>
      <c r="I49" s="18">
        <v>151</v>
      </c>
      <c r="J49" s="18">
        <v>25</v>
      </c>
      <c r="K49" s="23" t="s">
        <v>137</v>
      </c>
    </row>
    <row r="50" spans="1:14" x14ac:dyDescent="0.15">
      <c r="A50" s="18">
        <v>43</v>
      </c>
      <c r="B50" s="18">
        <v>2012</v>
      </c>
      <c r="C50" s="18">
        <v>1444</v>
      </c>
      <c r="D50" s="18">
        <v>765</v>
      </c>
      <c r="E50" s="18">
        <v>722</v>
      </c>
      <c r="F50" s="18">
        <v>679</v>
      </c>
      <c r="G50" s="18">
        <v>1548</v>
      </c>
      <c r="H50" s="18">
        <v>464</v>
      </c>
      <c r="I50" s="18">
        <v>154</v>
      </c>
      <c r="J50" s="18">
        <v>25</v>
      </c>
      <c r="K50" s="23" t="s">
        <v>137</v>
      </c>
    </row>
    <row r="51" spans="1:14" x14ac:dyDescent="0.15">
      <c r="A51" s="18">
        <v>44</v>
      </c>
      <c r="B51" s="18">
        <v>2059</v>
      </c>
      <c r="C51" s="18">
        <v>1478</v>
      </c>
      <c r="D51" s="18">
        <v>783</v>
      </c>
      <c r="E51" s="18">
        <v>739</v>
      </c>
      <c r="F51" s="18">
        <v>695</v>
      </c>
      <c r="G51" s="18">
        <v>1584</v>
      </c>
      <c r="H51" s="18">
        <v>475</v>
      </c>
      <c r="I51" s="18">
        <v>158</v>
      </c>
      <c r="J51" s="18">
        <v>26</v>
      </c>
      <c r="K51" s="23" t="s">
        <v>137</v>
      </c>
    </row>
    <row r="52" spans="1:14" x14ac:dyDescent="0.15">
      <c r="A52" s="18">
        <v>45</v>
      </c>
      <c r="B52" s="18">
        <v>2106</v>
      </c>
      <c r="C52" s="18">
        <v>1512</v>
      </c>
      <c r="D52" s="18">
        <v>801</v>
      </c>
      <c r="E52" s="18">
        <v>756</v>
      </c>
      <c r="F52" s="18">
        <v>711</v>
      </c>
      <c r="G52" s="18">
        <v>1620</v>
      </c>
      <c r="H52" s="18">
        <v>486</v>
      </c>
      <c r="I52" s="18">
        <v>162</v>
      </c>
      <c r="J52" s="18">
        <v>27</v>
      </c>
      <c r="K52" s="23" t="s">
        <v>137</v>
      </c>
    </row>
    <row r="53" spans="1:14" x14ac:dyDescent="0.15">
      <c r="A53" s="18">
        <v>46</v>
      </c>
      <c r="B53" s="18">
        <v>2152</v>
      </c>
      <c r="C53" s="18">
        <v>1545</v>
      </c>
      <c r="D53" s="18">
        <v>818</v>
      </c>
      <c r="E53" s="18">
        <v>772</v>
      </c>
      <c r="F53" s="18">
        <v>726</v>
      </c>
      <c r="G53" s="18">
        <v>1656</v>
      </c>
      <c r="H53" s="18">
        <v>496</v>
      </c>
      <c r="I53" s="18">
        <v>165</v>
      </c>
      <c r="J53" s="18">
        <v>27</v>
      </c>
      <c r="K53" s="23" t="s">
        <v>137</v>
      </c>
    </row>
    <row r="54" spans="1:14" x14ac:dyDescent="0.15">
      <c r="A54" s="18">
        <v>47</v>
      </c>
      <c r="B54" s="18">
        <v>2199</v>
      </c>
      <c r="C54" s="18">
        <v>1579</v>
      </c>
      <c r="D54" s="18">
        <v>836</v>
      </c>
      <c r="E54" s="18">
        <v>789</v>
      </c>
      <c r="F54" s="18">
        <v>742</v>
      </c>
      <c r="G54" s="18">
        <v>1692</v>
      </c>
      <c r="H54" s="18">
        <v>507</v>
      </c>
      <c r="I54" s="18">
        <v>169</v>
      </c>
      <c r="J54" s="18">
        <v>28</v>
      </c>
      <c r="K54" s="23" t="s">
        <v>137</v>
      </c>
    </row>
    <row r="55" spans="1:14" x14ac:dyDescent="0.15">
      <c r="A55" s="18">
        <v>48</v>
      </c>
      <c r="B55" s="18">
        <v>2246</v>
      </c>
      <c r="C55" s="18">
        <v>1612</v>
      </c>
      <c r="D55" s="18">
        <v>854</v>
      </c>
      <c r="E55" s="18">
        <v>806</v>
      </c>
      <c r="F55" s="18">
        <v>758</v>
      </c>
      <c r="G55" s="18">
        <v>1728</v>
      </c>
      <c r="H55" s="18">
        <v>518</v>
      </c>
      <c r="I55" s="18">
        <v>172</v>
      </c>
      <c r="J55" s="18">
        <v>28</v>
      </c>
      <c r="K55" s="23" t="s">
        <v>137</v>
      </c>
    </row>
    <row r="56" spans="1:14" x14ac:dyDescent="0.15">
      <c r="A56" s="18">
        <v>49</v>
      </c>
      <c r="B56" s="18">
        <v>2293</v>
      </c>
      <c r="C56" s="18">
        <v>1646</v>
      </c>
      <c r="D56" s="18">
        <v>872</v>
      </c>
      <c r="E56" s="18">
        <v>823</v>
      </c>
      <c r="F56" s="18">
        <v>774</v>
      </c>
      <c r="G56" s="18">
        <v>1764</v>
      </c>
      <c r="H56" s="18">
        <v>529</v>
      </c>
      <c r="I56" s="18">
        <v>176</v>
      </c>
      <c r="J56" s="18">
        <v>29</v>
      </c>
      <c r="K56" s="23" t="s">
        <v>137</v>
      </c>
    </row>
    <row r="57" spans="1:14" x14ac:dyDescent="0.15">
      <c r="A57" s="17">
        <v>50</v>
      </c>
      <c r="B57" s="17">
        <v>2808</v>
      </c>
      <c r="C57" s="17">
        <v>2016</v>
      </c>
      <c r="D57" s="17">
        <v>1068</v>
      </c>
      <c r="E57" s="17">
        <v>1008</v>
      </c>
      <c r="F57" s="17">
        <v>948</v>
      </c>
      <c r="G57" s="17">
        <v>2160</v>
      </c>
      <c r="H57" s="17">
        <v>648</v>
      </c>
      <c r="I57" s="17">
        <v>216</v>
      </c>
      <c r="J57" s="17">
        <v>36</v>
      </c>
      <c r="K57" s="8" t="s">
        <v>137</v>
      </c>
    </row>
    <row r="58" spans="1:14" s="51" customFormat="1" x14ac:dyDescent="0.15">
      <c r="A58" s="52" t="s">
        <v>138</v>
      </c>
      <c r="B58" s="52">
        <v>364</v>
      </c>
      <c r="C58" s="52">
        <v>205</v>
      </c>
      <c r="D58" s="52">
        <v>127</v>
      </c>
      <c r="E58" s="52">
        <v>69</v>
      </c>
      <c r="F58" s="52">
        <v>102</v>
      </c>
      <c r="G58" s="52">
        <v>57</v>
      </c>
      <c r="H58" s="52">
        <v>17</v>
      </c>
      <c r="I58" s="52">
        <v>5</v>
      </c>
      <c r="J58" s="52">
        <v>0</v>
      </c>
      <c r="K58" s="53" t="s">
        <v>137</v>
      </c>
      <c r="N58" s="50"/>
    </row>
    <row r="59" spans="1:14" s="51" customFormat="1" x14ac:dyDescent="0.15">
      <c r="A59" s="52" t="s">
        <v>139</v>
      </c>
      <c r="B59" s="52">
        <v>673</v>
      </c>
      <c r="C59" s="52">
        <v>483</v>
      </c>
      <c r="D59" s="52">
        <v>256</v>
      </c>
      <c r="E59" s="52">
        <v>241</v>
      </c>
      <c r="F59" s="52">
        <v>227</v>
      </c>
      <c r="G59" s="52">
        <v>518</v>
      </c>
      <c r="H59" s="52">
        <v>155</v>
      </c>
      <c r="I59" s="52">
        <v>51</v>
      </c>
      <c r="J59" s="52">
        <v>8</v>
      </c>
      <c r="K59" s="53" t="s">
        <v>137</v>
      </c>
    </row>
    <row r="60" spans="1:14" s="51" customFormat="1" x14ac:dyDescent="0.15">
      <c r="A60" s="52" t="s">
        <v>141</v>
      </c>
      <c r="B60" s="52">
        <v>604</v>
      </c>
      <c r="C60" s="52">
        <v>552</v>
      </c>
      <c r="D60" s="52">
        <v>270</v>
      </c>
      <c r="E60" s="52">
        <v>1658</v>
      </c>
      <c r="F60" s="52">
        <v>478</v>
      </c>
      <c r="G60" s="52">
        <v>691</v>
      </c>
      <c r="H60" s="52">
        <v>207</v>
      </c>
      <c r="I60" s="52">
        <v>69</v>
      </c>
      <c r="J60" s="52">
        <v>11</v>
      </c>
      <c r="K60" s="53" t="s">
        <v>140</v>
      </c>
    </row>
    <row r="61" spans="1:14" s="51" customFormat="1" x14ac:dyDescent="0.15">
      <c r="A61" s="52" t="s">
        <v>142</v>
      </c>
      <c r="B61" s="52">
        <v>3648</v>
      </c>
      <c r="C61" s="52">
        <v>2054</v>
      </c>
      <c r="D61" s="52">
        <v>1276</v>
      </c>
      <c r="E61" s="52">
        <v>691</v>
      </c>
      <c r="F61" s="52">
        <v>1027</v>
      </c>
      <c r="G61" s="52">
        <v>576</v>
      </c>
      <c r="H61" s="52">
        <v>172</v>
      </c>
      <c r="I61" s="52">
        <v>57</v>
      </c>
      <c r="J61" s="52">
        <v>9</v>
      </c>
      <c r="K61" s="53" t="s">
        <v>137</v>
      </c>
    </row>
    <row r="62" spans="1:14" s="51" customFormat="1" x14ac:dyDescent="0.15">
      <c r="A62" s="52" t="s">
        <v>143</v>
      </c>
      <c r="B62" s="52">
        <v>3369</v>
      </c>
      <c r="C62" s="52">
        <v>2419</v>
      </c>
      <c r="D62" s="52">
        <v>1281</v>
      </c>
      <c r="E62" s="52">
        <v>1209</v>
      </c>
      <c r="F62" s="52">
        <v>1137</v>
      </c>
      <c r="G62" s="52">
        <v>2592</v>
      </c>
      <c r="H62" s="52">
        <v>777</v>
      </c>
      <c r="I62" s="52">
        <v>259</v>
      </c>
      <c r="J62" s="52">
        <v>43</v>
      </c>
      <c r="K62" s="53" t="s">
        <v>137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12</xdr:col>
                <xdr:colOff>581025</xdr:colOff>
                <xdr:row>23</xdr:row>
                <xdr:rowOff>85725</xdr:rowOff>
              </from>
              <to>
                <xdr:col>15</xdr:col>
                <xdr:colOff>0</xdr:colOff>
                <xdr:row>27</xdr:row>
                <xdr:rowOff>19050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r:id="rId7">
            <anchor moveWithCells="1">
              <from>
                <xdr:col>12</xdr:col>
                <xdr:colOff>581025</xdr:colOff>
                <xdr:row>18</xdr:row>
                <xdr:rowOff>142875</xdr:rowOff>
              </from>
              <to>
                <xdr:col>15</xdr:col>
                <xdr:colOff>19050</xdr:colOff>
                <xdr:row>22</xdr:row>
                <xdr:rowOff>104775</xdr:rowOff>
              </to>
            </anchor>
          </controlPr>
        </control>
      </mc:Choice>
      <mc:Fallback>
        <control shapeId="5121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Y46"/>
  <sheetViews>
    <sheetView workbookViewId="0">
      <selection activeCell="C5" sqref="C5"/>
    </sheetView>
  </sheetViews>
  <sheetFormatPr defaultRowHeight="13.5" x14ac:dyDescent="0.15"/>
  <cols>
    <col min="1" max="1" width="13.125" customWidth="1"/>
    <col min="10" max="10" width="9" customWidth="1"/>
    <col min="12" max="12" width="10.25" customWidth="1"/>
    <col min="13" max="13" width="10" customWidth="1"/>
    <col min="14" max="14" width="10.5" customWidth="1"/>
    <col min="15" max="15" width="9.625" customWidth="1"/>
    <col min="17" max="17" width="12" customWidth="1"/>
    <col min="18" max="18" width="12.125" customWidth="1"/>
  </cols>
  <sheetData>
    <row r="3" spans="1:25" x14ac:dyDescent="0.15">
      <c r="A3" t="s">
        <v>17</v>
      </c>
      <c r="B3" t="s">
        <v>74</v>
      </c>
    </row>
    <row r="4" spans="1:25" x14ac:dyDescent="0.15">
      <c r="B4" s="1" t="s">
        <v>1</v>
      </c>
      <c r="C4" s="1" t="s">
        <v>9</v>
      </c>
      <c r="D4" s="1" t="s">
        <v>11</v>
      </c>
      <c r="E4" s="1" t="s">
        <v>13</v>
      </c>
      <c r="F4" s="1" t="s">
        <v>15</v>
      </c>
      <c r="G4" s="1" t="s">
        <v>16</v>
      </c>
    </row>
    <row r="5" spans="1:25" ht="14.25" x14ac:dyDescent="0.15">
      <c r="B5" s="1" t="s">
        <v>3</v>
      </c>
      <c r="C5" s="2">
        <v>15</v>
      </c>
      <c r="D5" s="2">
        <v>15</v>
      </c>
      <c r="E5" s="2">
        <v>5</v>
      </c>
      <c r="F5" s="2">
        <v>5</v>
      </c>
      <c r="G5" s="2">
        <v>40</v>
      </c>
    </row>
    <row r="6" spans="1:25" ht="14.25" x14ac:dyDescent="0.15">
      <c r="B6" s="1" t="s">
        <v>5</v>
      </c>
      <c r="C6" s="2">
        <v>10</v>
      </c>
      <c r="D6" s="2">
        <v>10</v>
      </c>
      <c r="E6" s="2">
        <v>15</v>
      </c>
      <c r="F6" s="2">
        <v>5</v>
      </c>
      <c r="G6" s="2">
        <v>40</v>
      </c>
      <c r="K6" t="s">
        <v>31</v>
      </c>
      <c r="Q6" t="s">
        <v>131</v>
      </c>
      <c r="V6" t="s">
        <v>132</v>
      </c>
    </row>
    <row r="7" spans="1:25" ht="14.25" x14ac:dyDescent="0.15">
      <c r="B7" s="1" t="s">
        <v>7</v>
      </c>
      <c r="C7" s="2">
        <v>5</v>
      </c>
      <c r="D7" s="2">
        <v>5</v>
      </c>
      <c r="E7" s="2">
        <v>10</v>
      </c>
      <c r="F7" s="2">
        <v>20</v>
      </c>
      <c r="G7" s="2">
        <v>40</v>
      </c>
    </row>
    <row r="8" spans="1:25" x14ac:dyDescent="0.15">
      <c r="L8" s="8" t="s">
        <v>1</v>
      </c>
      <c r="M8" s="8" t="s">
        <v>3</v>
      </c>
      <c r="N8" s="8" t="s">
        <v>5</v>
      </c>
      <c r="O8" s="8" t="s">
        <v>7</v>
      </c>
      <c r="Q8" s="8" t="s">
        <v>1</v>
      </c>
      <c r="R8" s="8" t="s">
        <v>3</v>
      </c>
      <c r="S8" s="8" t="s">
        <v>5</v>
      </c>
      <c r="T8" s="8" t="s">
        <v>7</v>
      </c>
      <c r="V8" s="8" t="s">
        <v>32</v>
      </c>
      <c r="W8" s="8" t="str">
        <f>战斗界面!B20</f>
        <v>物防·1级武器</v>
      </c>
      <c r="X8" s="8" t="str">
        <f>战斗界面!D20</f>
        <v>法攻·气血·2级防具</v>
      </c>
      <c r="Y8" s="8" t="str">
        <f>战斗界面!F20</f>
        <v>免暴·2级宝物</v>
      </c>
    </row>
    <row r="9" spans="1:25" x14ac:dyDescent="0.15">
      <c r="L9" s="8" t="s">
        <v>30</v>
      </c>
      <c r="M9" s="8">
        <f>战斗界面!D7</f>
        <v>12</v>
      </c>
      <c r="N9" s="8">
        <f>M9</f>
        <v>12</v>
      </c>
      <c r="O9" s="8">
        <f>M9</f>
        <v>12</v>
      </c>
      <c r="Q9" s="8" t="s">
        <v>30</v>
      </c>
      <c r="R9" s="8">
        <f>M9</f>
        <v>12</v>
      </c>
      <c r="S9" s="8">
        <f>R9</f>
        <v>12</v>
      </c>
      <c r="T9" s="8">
        <f>R9</f>
        <v>12</v>
      </c>
      <c r="V9" s="8" t="s">
        <v>30</v>
      </c>
      <c r="W9" s="8">
        <f>VLOOKUP(W8,装备生成表!A1:P33,3,FALSE)</f>
        <v>1</v>
      </c>
      <c r="X9" s="8">
        <f>VLOOKUP(X8,装备生成表!A1:P33,3,FALSE)</f>
        <v>2</v>
      </c>
      <c r="Y9" s="8">
        <f>VLOOKUP(Y8,装备生成表!A1:P33,3,FALSE)</f>
        <v>2</v>
      </c>
    </row>
    <row r="10" spans="1:25" x14ac:dyDescent="0.15">
      <c r="A10" t="s">
        <v>18</v>
      </c>
      <c r="B10" s="1" t="s">
        <v>75</v>
      </c>
      <c r="L10" s="8" t="s">
        <v>36</v>
      </c>
      <c r="M10" s="8">
        <f>C5+C12*M9</f>
        <v>63</v>
      </c>
      <c r="N10" s="8">
        <f>C6+C13*N9</f>
        <v>46</v>
      </c>
      <c r="O10" s="8">
        <f>C7+C14*O9</f>
        <v>29</v>
      </c>
      <c r="Q10" s="8" t="s">
        <v>9</v>
      </c>
      <c r="R10" s="8">
        <f>M10+W10+X10+Y10</f>
        <v>63</v>
      </c>
      <c r="S10" s="8">
        <f>N10+W10+X10+Y10</f>
        <v>46</v>
      </c>
      <c r="T10" s="8">
        <f>O10+W10+X10+Y10</f>
        <v>29</v>
      </c>
      <c r="V10" s="8" t="s">
        <v>9</v>
      </c>
      <c r="W10" s="8">
        <f>VLOOKUP(W8,装备生成表!A1:P33,4,FALSE)</f>
        <v>0</v>
      </c>
      <c r="X10" s="8">
        <f>VLOOKUP(X8,装备生成表!A1:P33,4,FALSE)</f>
        <v>0</v>
      </c>
      <c r="Y10" s="8">
        <f>VLOOKUP(Y8,装备生成表!A1:P33,4,FALSE)</f>
        <v>0</v>
      </c>
    </row>
    <row r="11" spans="1:25" x14ac:dyDescent="0.15">
      <c r="B11" s="3" t="s">
        <v>0</v>
      </c>
      <c r="C11" s="3" t="s">
        <v>8</v>
      </c>
      <c r="D11" s="3" t="s">
        <v>10</v>
      </c>
      <c r="E11" s="3" t="s">
        <v>12</v>
      </c>
      <c r="F11" s="3" t="s">
        <v>14</v>
      </c>
      <c r="G11" s="3" t="s">
        <v>19</v>
      </c>
      <c r="L11" s="8" t="s">
        <v>37</v>
      </c>
      <c r="M11" s="8">
        <f>D5+D12*M9</f>
        <v>63</v>
      </c>
      <c r="N11" s="8">
        <f>D6+D13*N9</f>
        <v>34</v>
      </c>
      <c r="O11" s="8">
        <f>D7+D14*O9</f>
        <v>17</v>
      </c>
      <c r="Q11" s="8" t="s">
        <v>11</v>
      </c>
      <c r="R11" s="8">
        <f>M11+W11+X11+Y11</f>
        <v>63</v>
      </c>
      <c r="S11" s="8">
        <f>N11+W11+X11+Y11</f>
        <v>34</v>
      </c>
      <c r="T11" s="8">
        <f>O11+W11+X11+Y11</f>
        <v>17</v>
      </c>
      <c r="V11" s="8" t="s">
        <v>11</v>
      </c>
      <c r="W11" s="8">
        <f>VLOOKUP(W8,装备生成表!A1:P33,5,FALSE)</f>
        <v>0</v>
      </c>
      <c r="X11" s="8">
        <f>VLOOKUP(X8,装备生成表!A1:P33,5,FALSE)</f>
        <v>0</v>
      </c>
      <c r="Y11" s="8">
        <f>VLOOKUP(Y8,装备生成表!A1:P33,5,FALSE)</f>
        <v>0</v>
      </c>
    </row>
    <row r="12" spans="1:25" ht="14.25" x14ac:dyDescent="0.15">
      <c r="B12" s="3" t="s">
        <v>2</v>
      </c>
      <c r="C12" s="4">
        <v>4</v>
      </c>
      <c r="D12" s="4">
        <v>4</v>
      </c>
      <c r="E12" s="4">
        <v>1</v>
      </c>
      <c r="F12" s="4">
        <v>1</v>
      </c>
      <c r="G12" s="4">
        <v>10</v>
      </c>
      <c r="L12" s="8" t="s">
        <v>38</v>
      </c>
      <c r="M12" s="8">
        <f>E5+E12*M9</f>
        <v>17</v>
      </c>
      <c r="N12" s="8">
        <f>E6+E13*N9</f>
        <v>51</v>
      </c>
      <c r="O12" s="8">
        <f>E7+E14*O9</f>
        <v>34</v>
      </c>
      <c r="Q12" s="8" t="s">
        <v>13</v>
      </c>
      <c r="R12" s="8">
        <f>M12+W12+X12+Y12</f>
        <v>17</v>
      </c>
      <c r="S12" s="8">
        <f>N12+W12+X12+Y12</f>
        <v>51</v>
      </c>
      <c r="T12" s="8">
        <f>O12+W12+X12+Y12</f>
        <v>34</v>
      </c>
      <c r="V12" s="8" t="s">
        <v>13</v>
      </c>
      <c r="W12" s="8">
        <f>VLOOKUP(W8,装备生成表!A1:P33,6,FALSE)</f>
        <v>0</v>
      </c>
      <c r="X12" s="8">
        <f>VLOOKUP(X8,装备生成表!A1:P33,6,FALSE)</f>
        <v>0</v>
      </c>
      <c r="Y12" s="8">
        <f>VLOOKUP(Y8,装备生成表!A1:P33,6,FALSE)</f>
        <v>0</v>
      </c>
    </row>
    <row r="13" spans="1:25" ht="14.25" x14ac:dyDescent="0.15">
      <c r="B13" s="3" t="s">
        <v>4</v>
      </c>
      <c r="C13" s="4">
        <v>3</v>
      </c>
      <c r="D13" s="4">
        <v>2</v>
      </c>
      <c r="E13" s="4">
        <v>3</v>
      </c>
      <c r="F13" s="4">
        <v>2</v>
      </c>
      <c r="G13" s="4">
        <v>10</v>
      </c>
      <c r="L13" s="8" t="s">
        <v>39</v>
      </c>
      <c r="M13" s="8">
        <f>F5+F12*M9</f>
        <v>17</v>
      </c>
      <c r="N13" s="8">
        <f>F6+F13*N9</f>
        <v>29</v>
      </c>
      <c r="O13" s="8">
        <f>F7+F14*O9</f>
        <v>68</v>
      </c>
      <c r="Q13" s="8" t="s">
        <v>15</v>
      </c>
      <c r="R13" s="8">
        <f>M13+W13+X13+Y13</f>
        <v>17</v>
      </c>
      <c r="S13" s="8">
        <f>N13+W13+X13+Y13</f>
        <v>29</v>
      </c>
      <c r="T13" s="8">
        <f>O13+W13+X13+Y13</f>
        <v>68</v>
      </c>
      <c r="V13" s="8" t="s">
        <v>15</v>
      </c>
      <c r="W13" s="8">
        <f>VLOOKUP(W8,装备生成表!A1:P33,7,FALSE)</f>
        <v>0</v>
      </c>
      <c r="X13" s="8">
        <f>VLOOKUP(X8,装备生成表!A1:P33,7,FALSE)</f>
        <v>0</v>
      </c>
      <c r="Y13" s="8">
        <f>VLOOKUP(Y8,装备生成表!A1:P33,7,FALSE)</f>
        <v>0</v>
      </c>
    </row>
    <row r="14" spans="1:25" ht="14.25" x14ac:dyDescent="0.15">
      <c r="B14" s="3" t="s">
        <v>6</v>
      </c>
      <c r="C14" s="4">
        <v>2</v>
      </c>
      <c r="D14" s="4">
        <v>1</v>
      </c>
      <c r="E14" s="4">
        <v>2</v>
      </c>
      <c r="F14" s="4">
        <v>4</v>
      </c>
      <c r="G14" s="4">
        <v>10</v>
      </c>
      <c r="L14" s="9" t="s">
        <v>21</v>
      </c>
      <c r="M14" s="8">
        <f>M10*C19</f>
        <v>1260</v>
      </c>
      <c r="N14" s="8">
        <f>N10*C26</f>
        <v>828</v>
      </c>
      <c r="O14" s="8">
        <f>O10*C33</f>
        <v>435</v>
      </c>
      <c r="Q14" s="9" t="s">
        <v>21</v>
      </c>
      <c r="R14" s="8">
        <f>R10*C19+W14+X14+Y14</f>
        <v>2053</v>
      </c>
      <c r="S14" s="8">
        <f>S10*C26+W14+X14+Y14</f>
        <v>1621</v>
      </c>
      <c r="T14" s="8">
        <f>T10*C33+W14+X14+Y14</f>
        <v>1228</v>
      </c>
      <c r="V14" s="9" t="s">
        <v>21</v>
      </c>
      <c r="W14" s="8">
        <f>VLOOKUP(W8,装备生成表!A1:P33,8,FALSE)</f>
        <v>0</v>
      </c>
      <c r="X14" s="8">
        <f>VLOOKUP(X8,装备生成表!A1:P33,8,FALSE)</f>
        <v>478</v>
      </c>
      <c r="Y14" s="8">
        <f>VLOOKUP(Y8,装备生成表!A1:P33,8,FALSE)</f>
        <v>315</v>
      </c>
    </row>
    <row r="15" spans="1:25" x14ac:dyDescent="0.15">
      <c r="L15" s="9" t="s">
        <v>22</v>
      </c>
      <c r="M15" s="8">
        <f>M11*D20+M12*D21</f>
        <v>698</v>
      </c>
      <c r="N15" s="8">
        <f>N11*D27+N12*D28</f>
        <v>476</v>
      </c>
      <c r="O15" s="8">
        <f>O11*D34+O12*D35</f>
        <v>272</v>
      </c>
      <c r="Q15" s="9" t="s">
        <v>22</v>
      </c>
      <c r="R15" s="8">
        <f>R11*D20+R12*D21+W15+X15+Y15</f>
        <v>950</v>
      </c>
      <c r="S15" s="8">
        <f>S11*D27+S12*D28+W15+X15+Y15</f>
        <v>728</v>
      </c>
      <c r="T15" s="8">
        <f>T11*D34+T12*D35+W15+X15+Y15</f>
        <v>524</v>
      </c>
      <c r="V15" s="9" t="s">
        <v>22</v>
      </c>
      <c r="W15" s="8">
        <f>VLOOKUP(W8,装备生成表!A1:P33,9,FALSE)</f>
        <v>252</v>
      </c>
      <c r="X15" s="8">
        <f>VLOOKUP(X8,装备生成表!A1:P33,9,FALSE)</f>
        <v>0</v>
      </c>
      <c r="Y15" s="8">
        <f>VLOOKUP(Y8,装备生成表!A1:P33,9,FALSE)</f>
        <v>0</v>
      </c>
    </row>
    <row r="16" spans="1:25" ht="13.5" customHeight="1" x14ac:dyDescent="0.15">
      <c r="B16" s="3" t="s">
        <v>76</v>
      </c>
      <c r="L16" s="9" t="s">
        <v>23</v>
      </c>
      <c r="M16" s="8">
        <f>M10*E19+M11*E20</f>
        <v>441</v>
      </c>
      <c r="N16" s="8">
        <f>N10*E26+N11*E27</f>
        <v>298</v>
      </c>
      <c r="O16" s="8">
        <f>O10*E33+O11*E34</f>
        <v>179</v>
      </c>
      <c r="Q16" s="9" t="s">
        <v>23</v>
      </c>
      <c r="R16" s="8">
        <f>R10*E19+R11*E20+W16+X16+Y16</f>
        <v>886</v>
      </c>
      <c r="S16" s="8">
        <f>S10*E26+S11*E27+W16+X16+Y16</f>
        <v>743</v>
      </c>
      <c r="T16" s="8">
        <f>T10*E33+T11*E34+W16+X16+Y16</f>
        <v>624</v>
      </c>
      <c r="V16" s="9" t="s">
        <v>23</v>
      </c>
      <c r="W16" s="8">
        <f>VLOOKUP(W8,装备生成表!A1:P33,10,FALSE)</f>
        <v>89</v>
      </c>
      <c r="X16" s="8">
        <f>VLOOKUP(X8,装备生成表!A1:P33,10,FALSE)</f>
        <v>356</v>
      </c>
      <c r="Y16" s="8">
        <f>VLOOKUP(Y8,装备生成表!A1:P33,10,FALSE)</f>
        <v>0</v>
      </c>
    </row>
    <row r="17" spans="1:25" x14ac:dyDescent="0.15">
      <c r="A17" t="s">
        <v>29</v>
      </c>
      <c r="B17" s="3" t="s">
        <v>78</v>
      </c>
      <c r="L17" s="9" t="s">
        <v>24</v>
      </c>
      <c r="M17" s="8">
        <f>M13*F22</f>
        <v>204</v>
      </c>
      <c r="N17" s="8">
        <f>N13*F29</f>
        <v>348</v>
      </c>
      <c r="O17" s="8">
        <f>O13*F36</f>
        <v>816</v>
      </c>
      <c r="Q17" s="9" t="s">
        <v>24</v>
      </c>
      <c r="R17" s="8">
        <f>R13*F22+W17+X17+Y17</f>
        <v>626</v>
      </c>
      <c r="S17" s="8">
        <f>S13*F29+W17+X17+Y17</f>
        <v>770</v>
      </c>
      <c r="T17" s="8">
        <f>T13*F36+W17+X17+Y17</f>
        <v>1238</v>
      </c>
      <c r="V17" s="9" t="s">
        <v>24</v>
      </c>
      <c r="W17" s="8">
        <f>VLOOKUP(W8,装备生成表!A1:P33,11,FALSE)</f>
        <v>126</v>
      </c>
      <c r="X17" s="8">
        <f>VLOOKUP(X8,装备生成表!A1:P33,11,FALSE)</f>
        <v>296</v>
      </c>
      <c r="Y17" s="8">
        <f>VLOOKUP(Y8,装备生成表!A1:P33,11,FALSE)</f>
        <v>0</v>
      </c>
    </row>
    <row r="18" spans="1:25" x14ac:dyDescent="0.15">
      <c r="A18" s="57" t="s">
        <v>3</v>
      </c>
      <c r="B18" s="5" t="s">
        <v>20</v>
      </c>
      <c r="C18" s="6" t="s">
        <v>21</v>
      </c>
      <c r="D18" s="6" t="s">
        <v>22</v>
      </c>
      <c r="E18" s="6" t="s">
        <v>23</v>
      </c>
      <c r="F18" s="6" t="s">
        <v>24</v>
      </c>
      <c r="G18" s="6" t="s">
        <v>25</v>
      </c>
      <c r="H18" s="6" t="s">
        <v>26</v>
      </c>
      <c r="I18" s="6" t="s">
        <v>27</v>
      </c>
      <c r="J18" s="6" t="s">
        <v>28</v>
      </c>
      <c r="L18" s="9" t="s">
        <v>25</v>
      </c>
      <c r="M18" s="8">
        <f>M10*G19+M13*G22</f>
        <v>349</v>
      </c>
      <c r="N18" s="8">
        <f>N10*G26+N13*G29</f>
        <v>288</v>
      </c>
      <c r="O18" s="8">
        <f>O10*G33+O13*G36</f>
        <v>281</v>
      </c>
      <c r="Q18" s="9" t="s">
        <v>25</v>
      </c>
      <c r="R18" s="8">
        <f>R10*G19+R13*G22+W18+X18+Y18</f>
        <v>665</v>
      </c>
      <c r="S18" s="8">
        <f>S10*G26+S13*G29+W18+X18+Y18</f>
        <v>604</v>
      </c>
      <c r="T18" s="8">
        <f>T10*G33+T13*G36+W18+X18+Y18</f>
        <v>597</v>
      </c>
      <c r="V18" s="9" t="s">
        <v>25</v>
      </c>
      <c r="W18" s="8">
        <f>VLOOKUP(W8,装备生成表!A1:P33,12,FALSE)</f>
        <v>0</v>
      </c>
      <c r="X18" s="8">
        <f>VLOOKUP(X8,装备生成表!A1:P33,12,FALSE)</f>
        <v>316</v>
      </c>
      <c r="Y18" s="8">
        <f>VLOOKUP(Y8,装备生成表!A1:P33,12,FALSE)</f>
        <v>0</v>
      </c>
    </row>
    <row r="19" spans="1:25" ht="14.25" x14ac:dyDescent="0.15">
      <c r="A19" s="57"/>
      <c r="B19" s="6" t="s">
        <v>8</v>
      </c>
      <c r="C19" s="7">
        <v>20</v>
      </c>
      <c r="D19" s="7"/>
      <c r="E19" s="7">
        <v>5</v>
      </c>
      <c r="F19" s="7"/>
      <c r="G19" s="7">
        <v>5</v>
      </c>
      <c r="H19" s="7"/>
      <c r="I19" s="7"/>
      <c r="J19" s="7"/>
      <c r="L19" s="9" t="s">
        <v>26</v>
      </c>
      <c r="M19" s="8">
        <f>M12*H21</f>
        <v>170</v>
      </c>
      <c r="N19" s="8">
        <f>N12*H28</f>
        <v>510</v>
      </c>
      <c r="O19" s="8">
        <f>O12*H35</f>
        <v>340</v>
      </c>
      <c r="Q19" s="9" t="s">
        <v>26</v>
      </c>
      <c r="R19" s="8">
        <f>R12*H21+W19+X19+Y19</f>
        <v>170</v>
      </c>
      <c r="S19" s="8">
        <f>S12*H28+W19+X19+Y19</f>
        <v>510</v>
      </c>
      <c r="T19" s="8">
        <f>T12*H35+W19+X19+Y19</f>
        <v>340</v>
      </c>
      <c r="V19" s="9" t="s">
        <v>26</v>
      </c>
      <c r="W19" s="8">
        <f>VLOOKUP(W8,装备生成表!A1:P33,13,FALSE)</f>
        <v>0</v>
      </c>
      <c r="X19" s="8">
        <f>VLOOKUP(X8,装备生成表!A1:P33,13,FALSE)</f>
        <v>0</v>
      </c>
      <c r="Y19" s="8">
        <f>VLOOKUP(Y8,装备生成表!A1:P33,13,FALSE)</f>
        <v>0</v>
      </c>
    </row>
    <row r="20" spans="1:25" ht="14.25" x14ac:dyDescent="0.15">
      <c r="A20" s="57"/>
      <c r="B20" s="6" t="s">
        <v>10</v>
      </c>
      <c r="C20" s="7"/>
      <c r="D20" s="7">
        <v>10</v>
      </c>
      <c r="E20" s="7">
        <v>2</v>
      </c>
      <c r="F20" s="7"/>
      <c r="G20" s="7"/>
      <c r="H20" s="7"/>
      <c r="I20" s="7"/>
      <c r="J20" s="7"/>
      <c r="L20" s="9" t="s">
        <v>27</v>
      </c>
      <c r="M20" s="8">
        <f>M12*I28</f>
        <v>51</v>
      </c>
      <c r="N20" s="8">
        <f>N12*I28</f>
        <v>153</v>
      </c>
      <c r="O20" s="8">
        <f>O12*I35</f>
        <v>102</v>
      </c>
      <c r="Q20" s="9" t="s">
        <v>27</v>
      </c>
      <c r="R20" s="8">
        <f>R12*I21+W20+X20+Y20</f>
        <v>51</v>
      </c>
      <c r="S20" s="8">
        <f>S12*I28+W20+X20+Y20</f>
        <v>153</v>
      </c>
      <c r="T20" s="8">
        <f>T12*I35+W20+X20+Y20</f>
        <v>102</v>
      </c>
      <c r="V20" s="9" t="s">
        <v>27</v>
      </c>
      <c r="W20" s="8">
        <f>VLOOKUP(W8,装备生成表!A1:P33,14,FALSE)</f>
        <v>0</v>
      </c>
      <c r="X20" s="8">
        <f>VLOOKUP(X8,装备生成表!A1:P33,14,FALSE)</f>
        <v>0</v>
      </c>
      <c r="Y20" s="8">
        <f>VLOOKUP(Y8,装备生成表!A1:P33,14,FALSE)</f>
        <v>0</v>
      </c>
    </row>
    <row r="21" spans="1:25" ht="14.25" x14ac:dyDescent="0.15">
      <c r="A21" s="57"/>
      <c r="B21" s="6" t="s">
        <v>12</v>
      </c>
      <c r="C21" s="7"/>
      <c r="D21" s="7">
        <v>4</v>
      </c>
      <c r="E21" s="7"/>
      <c r="F21" s="7"/>
      <c r="G21" s="7"/>
      <c r="H21" s="7">
        <v>10</v>
      </c>
      <c r="I21" s="7">
        <v>3</v>
      </c>
      <c r="J21" s="7">
        <v>1</v>
      </c>
      <c r="L21" s="9" t="s">
        <v>28</v>
      </c>
      <c r="M21" s="8">
        <f>M12*J21</f>
        <v>17</v>
      </c>
      <c r="N21" s="8">
        <f>N12*J28</f>
        <v>51</v>
      </c>
      <c r="O21" s="8">
        <f>O12*J35</f>
        <v>34</v>
      </c>
      <c r="Q21" s="9" t="s">
        <v>28</v>
      </c>
      <c r="R21" s="8">
        <f>R12*J21+W21+X21+Y21</f>
        <v>17</v>
      </c>
      <c r="S21" s="8">
        <f>S12*J28+W21+X21+Y21</f>
        <v>51</v>
      </c>
      <c r="T21" s="8">
        <f>T12*J35+W21+X21+Y21</f>
        <v>34</v>
      </c>
      <c r="V21" s="9" t="s">
        <v>28</v>
      </c>
      <c r="W21" s="8">
        <f>VLOOKUP(W8,装备生成表!A1:P33,15,FALSE)</f>
        <v>0</v>
      </c>
      <c r="X21" s="8">
        <f>VLOOKUP(X8,装备生成表!A1:P33,15,FALSE)</f>
        <v>0</v>
      </c>
      <c r="Y21" s="8">
        <f>VLOOKUP(Y8,装备生成表!A1:P33,15,FALSE)</f>
        <v>0</v>
      </c>
    </row>
    <row r="22" spans="1:25" ht="14.25" x14ac:dyDescent="0.15">
      <c r="A22" s="57"/>
      <c r="B22" s="6" t="s">
        <v>14</v>
      </c>
      <c r="C22" s="7"/>
      <c r="D22" s="7"/>
      <c r="E22" s="7"/>
      <c r="F22" s="7">
        <v>12</v>
      </c>
      <c r="G22" s="7">
        <v>2</v>
      </c>
      <c r="H22" s="7"/>
      <c r="I22" s="7"/>
      <c r="J22" s="7"/>
      <c r="L22" s="9" t="s">
        <v>40</v>
      </c>
      <c r="M22" s="8">
        <f>M13*J22</f>
        <v>0</v>
      </c>
      <c r="N22" s="8">
        <f>N13*J29</f>
        <v>0</v>
      </c>
      <c r="O22" s="8">
        <f>O13*J36</f>
        <v>0</v>
      </c>
      <c r="Q22" s="9" t="s">
        <v>40</v>
      </c>
      <c r="R22" s="8">
        <f>W22+X22+Y22</f>
        <v>4</v>
      </c>
      <c r="S22" s="8">
        <f>W22+X22+Y22</f>
        <v>4</v>
      </c>
      <c r="T22" s="8">
        <f>W22+X22+Y22</f>
        <v>4</v>
      </c>
      <c r="V22" s="9" t="s">
        <v>40</v>
      </c>
      <c r="W22" s="8">
        <f>VLOOKUP(W8,装备生成表!A1:P33,16,FALSE)</f>
        <v>0</v>
      </c>
      <c r="X22" s="8">
        <f>VLOOKUP(X8,装备生成表!A1:P33,16,FALSE)</f>
        <v>0</v>
      </c>
      <c r="Y22" s="8">
        <f>VLOOKUP(Y8,装备生成表!A1:P33,16,FALSE)</f>
        <v>4</v>
      </c>
    </row>
    <row r="24" spans="1:25" x14ac:dyDescent="0.15">
      <c r="B24" s="6" t="s">
        <v>79</v>
      </c>
      <c r="M24" s="21" t="s">
        <v>42</v>
      </c>
      <c r="R24" s="21" t="s">
        <v>60</v>
      </c>
    </row>
    <row r="25" spans="1:25" x14ac:dyDescent="0.15">
      <c r="A25" s="57" t="s">
        <v>5</v>
      </c>
      <c r="B25" s="5" t="s">
        <v>20</v>
      </c>
      <c r="C25" s="6" t="s">
        <v>21</v>
      </c>
      <c r="D25" s="6" t="s">
        <v>22</v>
      </c>
      <c r="E25" s="6" t="s">
        <v>23</v>
      </c>
      <c r="F25" s="6" t="s">
        <v>24</v>
      </c>
      <c r="G25" s="6" t="s">
        <v>25</v>
      </c>
      <c r="H25" s="6" t="s">
        <v>26</v>
      </c>
      <c r="I25" s="6" t="s">
        <v>27</v>
      </c>
      <c r="J25" s="6" t="s">
        <v>28</v>
      </c>
      <c r="L25" s="22" t="s">
        <v>44</v>
      </c>
      <c r="M25" s="21" t="s">
        <v>3</v>
      </c>
      <c r="N25" s="21" t="s">
        <v>5</v>
      </c>
      <c r="O25" s="21" t="s">
        <v>7</v>
      </c>
      <c r="Q25" s="22" t="s">
        <v>44</v>
      </c>
      <c r="R25" s="21" t="s">
        <v>3</v>
      </c>
      <c r="S25" s="21" t="s">
        <v>5</v>
      </c>
      <c r="T25" s="21" t="s">
        <v>7</v>
      </c>
    </row>
    <row r="26" spans="1:25" ht="14.25" x14ac:dyDescent="0.15">
      <c r="A26" s="57"/>
      <c r="B26" s="6" t="s">
        <v>8</v>
      </c>
      <c r="C26" s="7">
        <v>18</v>
      </c>
      <c r="D26" s="7"/>
      <c r="E26" s="7">
        <v>5</v>
      </c>
      <c r="F26" s="7"/>
      <c r="G26" s="7">
        <v>5</v>
      </c>
      <c r="H26" s="7"/>
      <c r="I26" s="7"/>
      <c r="J26" s="7"/>
      <c r="L26" s="22" t="s">
        <v>21</v>
      </c>
      <c r="M26" s="21">
        <v>380</v>
      </c>
      <c r="N26" s="21">
        <v>234</v>
      </c>
      <c r="O26" s="21">
        <v>105</v>
      </c>
      <c r="Q26" s="22" t="s">
        <v>21</v>
      </c>
      <c r="R26" s="21">
        <f>M26*0.4</f>
        <v>152</v>
      </c>
      <c r="S26" s="21">
        <f>N26*0.4</f>
        <v>93.600000000000009</v>
      </c>
      <c r="T26" s="21">
        <f>O26*0.4</f>
        <v>42</v>
      </c>
    </row>
    <row r="27" spans="1:25" ht="14.25" x14ac:dyDescent="0.15">
      <c r="A27" s="57"/>
      <c r="B27" s="6" t="s">
        <v>10</v>
      </c>
      <c r="C27" s="7"/>
      <c r="D27" s="7">
        <v>8</v>
      </c>
      <c r="E27" s="7">
        <v>2</v>
      </c>
      <c r="F27" s="7"/>
      <c r="G27" s="7"/>
      <c r="H27" s="7"/>
      <c r="I27" s="7"/>
      <c r="J27" s="7"/>
      <c r="L27" s="22" t="s">
        <v>22</v>
      </c>
      <c r="M27" s="21">
        <v>214</v>
      </c>
      <c r="N27" s="21">
        <v>168</v>
      </c>
      <c r="O27" s="21">
        <v>96</v>
      </c>
      <c r="Q27" s="22" t="s">
        <v>22</v>
      </c>
      <c r="R27" s="21">
        <f t="shared" ref="R27:R34" si="0">M27*0.4</f>
        <v>85.600000000000009</v>
      </c>
      <c r="S27" s="21">
        <f t="shared" ref="S27:S34" si="1">N27*0.4</f>
        <v>67.2</v>
      </c>
      <c r="T27" s="21">
        <f t="shared" ref="T27:T34" si="2">O27*0.4</f>
        <v>38.400000000000006</v>
      </c>
    </row>
    <row r="28" spans="1:25" ht="14.25" x14ac:dyDescent="0.15">
      <c r="A28" s="57"/>
      <c r="B28" s="6" t="s">
        <v>12</v>
      </c>
      <c r="C28" s="7"/>
      <c r="D28" s="7">
        <v>4</v>
      </c>
      <c r="E28" s="7"/>
      <c r="F28" s="7"/>
      <c r="G28" s="7"/>
      <c r="H28" s="7">
        <v>10</v>
      </c>
      <c r="I28" s="7">
        <v>3</v>
      </c>
      <c r="J28" s="7">
        <v>1</v>
      </c>
      <c r="L28" s="22" t="s">
        <v>23</v>
      </c>
      <c r="M28" s="21">
        <v>133</v>
      </c>
      <c r="N28" s="21">
        <v>89</v>
      </c>
      <c r="O28" s="21">
        <v>47</v>
      </c>
      <c r="Q28" s="22" t="s">
        <v>23</v>
      </c>
      <c r="R28" s="21">
        <f t="shared" si="0"/>
        <v>53.2</v>
      </c>
      <c r="S28" s="21">
        <f t="shared" si="1"/>
        <v>35.6</v>
      </c>
      <c r="T28" s="21">
        <f t="shared" si="2"/>
        <v>18.8</v>
      </c>
    </row>
    <row r="29" spans="1:25" ht="14.25" x14ac:dyDescent="0.15">
      <c r="A29" s="57"/>
      <c r="B29" s="6" t="s">
        <v>14</v>
      </c>
      <c r="C29" s="7"/>
      <c r="D29" s="7"/>
      <c r="E29" s="7"/>
      <c r="F29" s="7">
        <v>12</v>
      </c>
      <c r="G29" s="7">
        <v>2</v>
      </c>
      <c r="H29" s="7"/>
      <c r="I29" s="7"/>
      <c r="J29" s="7"/>
      <c r="L29" s="22" t="s">
        <v>24</v>
      </c>
      <c r="M29" s="21">
        <v>72</v>
      </c>
      <c r="N29" s="21">
        <v>84</v>
      </c>
      <c r="O29" s="21">
        <v>288</v>
      </c>
      <c r="Q29" s="22" t="s">
        <v>24</v>
      </c>
      <c r="R29" s="21">
        <f t="shared" si="0"/>
        <v>28.8</v>
      </c>
      <c r="S29" s="21">
        <f t="shared" si="1"/>
        <v>33.6</v>
      </c>
      <c r="T29" s="21">
        <f t="shared" si="2"/>
        <v>115.2</v>
      </c>
    </row>
    <row r="30" spans="1:25" x14ac:dyDescent="0.15">
      <c r="L30" s="22" t="s">
        <v>25</v>
      </c>
      <c r="M30" s="21">
        <v>107</v>
      </c>
      <c r="N30" s="21">
        <v>79</v>
      </c>
      <c r="O30" s="21">
        <v>83</v>
      </c>
      <c r="Q30" s="22" t="s">
        <v>25</v>
      </c>
      <c r="R30" s="21">
        <f t="shared" si="0"/>
        <v>42.800000000000004</v>
      </c>
      <c r="S30" s="21">
        <f t="shared" si="1"/>
        <v>31.6</v>
      </c>
      <c r="T30" s="21">
        <f t="shared" si="2"/>
        <v>33.200000000000003</v>
      </c>
    </row>
    <row r="31" spans="1:25" x14ac:dyDescent="0.15">
      <c r="B31" s="6" t="s">
        <v>80</v>
      </c>
      <c r="L31" s="22" t="s">
        <v>26</v>
      </c>
      <c r="M31" s="21">
        <v>60</v>
      </c>
      <c r="N31" s="21">
        <v>180</v>
      </c>
      <c r="O31" s="21">
        <v>120</v>
      </c>
      <c r="Q31" s="22" t="s">
        <v>26</v>
      </c>
      <c r="R31" s="21">
        <f t="shared" si="0"/>
        <v>24</v>
      </c>
      <c r="S31" s="21">
        <f t="shared" si="1"/>
        <v>72</v>
      </c>
      <c r="T31" s="21">
        <f t="shared" si="2"/>
        <v>48</v>
      </c>
    </row>
    <row r="32" spans="1:25" x14ac:dyDescent="0.15">
      <c r="A32" s="57" t="s">
        <v>7</v>
      </c>
      <c r="B32" s="5" t="s">
        <v>20</v>
      </c>
      <c r="C32" s="6" t="s">
        <v>21</v>
      </c>
      <c r="D32" s="6" t="s">
        <v>22</v>
      </c>
      <c r="E32" s="6" t="s">
        <v>23</v>
      </c>
      <c r="F32" s="6" t="s">
        <v>24</v>
      </c>
      <c r="G32" s="6" t="s">
        <v>25</v>
      </c>
      <c r="H32" s="6" t="s">
        <v>26</v>
      </c>
      <c r="I32" s="6" t="s">
        <v>27</v>
      </c>
      <c r="J32" s="6" t="s">
        <v>28</v>
      </c>
      <c r="L32" s="22" t="s">
        <v>27</v>
      </c>
      <c r="M32" s="21">
        <v>18</v>
      </c>
      <c r="N32" s="21">
        <v>54</v>
      </c>
      <c r="O32" s="21">
        <v>36</v>
      </c>
      <c r="Q32" s="22" t="s">
        <v>27</v>
      </c>
      <c r="R32" s="21">
        <f t="shared" si="0"/>
        <v>7.2</v>
      </c>
      <c r="S32" s="21">
        <f t="shared" si="1"/>
        <v>21.6</v>
      </c>
      <c r="T32" s="21">
        <f t="shared" si="2"/>
        <v>14.4</v>
      </c>
    </row>
    <row r="33" spans="1:20" ht="14.25" x14ac:dyDescent="0.15">
      <c r="A33" s="57"/>
      <c r="B33" s="6" t="s">
        <v>8</v>
      </c>
      <c r="C33" s="7">
        <v>15</v>
      </c>
      <c r="D33" s="7"/>
      <c r="E33" s="7">
        <v>5</v>
      </c>
      <c r="F33" s="7"/>
      <c r="G33" s="7">
        <v>5</v>
      </c>
      <c r="H33" s="7"/>
      <c r="I33" s="7"/>
      <c r="J33" s="7"/>
      <c r="L33" s="22" t="s">
        <v>28</v>
      </c>
      <c r="M33" s="21">
        <v>6</v>
      </c>
      <c r="N33" s="21">
        <v>18</v>
      </c>
      <c r="O33" s="21">
        <v>12</v>
      </c>
      <c r="Q33" s="22" t="s">
        <v>28</v>
      </c>
      <c r="R33" s="21">
        <f t="shared" si="0"/>
        <v>2.4000000000000004</v>
      </c>
      <c r="S33" s="21">
        <f t="shared" si="1"/>
        <v>7.2</v>
      </c>
      <c r="T33" s="21">
        <f t="shared" si="2"/>
        <v>4.8000000000000007</v>
      </c>
    </row>
    <row r="34" spans="1:20" ht="14.25" x14ac:dyDescent="0.15">
      <c r="A34" s="57"/>
      <c r="B34" s="6" t="s">
        <v>10</v>
      </c>
      <c r="C34" s="7"/>
      <c r="D34" s="7">
        <v>8</v>
      </c>
      <c r="E34" s="7">
        <v>2</v>
      </c>
      <c r="F34" s="7"/>
      <c r="G34" s="7"/>
      <c r="H34" s="7"/>
      <c r="I34" s="7"/>
      <c r="J34" s="7"/>
      <c r="L34" s="22" t="s">
        <v>40</v>
      </c>
      <c r="M34" s="21">
        <v>1</v>
      </c>
      <c r="N34" s="21">
        <v>3</v>
      </c>
      <c r="O34" s="21">
        <v>2</v>
      </c>
      <c r="Q34" s="22" t="s">
        <v>40</v>
      </c>
      <c r="R34" s="21">
        <f t="shared" si="0"/>
        <v>0.4</v>
      </c>
      <c r="S34" s="21">
        <f t="shared" si="1"/>
        <v>1.2000000000000002</v>
      </c>
      <c r="T34" s="21">
        <f t="shared" si="2"/>
        <v>0.8</v>
      </c>
    </row>
    <row r="35" spans="1:20" ht="14.25" x14ac:dyDescent="0.15">
      <c r="A35" s="57"/>
      <c r="B35" s="6" t="s">
        <v>12</v>
      </c>
      <c r="C35" s="7"/>
      <c r="D35" s="7">
        <v>4</v>
      </c>
      <c r="E35" s="7"/>
      <c r="F35" s="7"/>
      <c r="G35" s="7"/>
      <c r="H35" s="7">
        <v>10</v>
      </c>
      <c r="I35" s="7">
        <v>3</v>
      </c>
      <c r="J35" s="7">
        <v>1</v>
      </c>
    </row>
    <row r="36" spans="1:20" ht="14.25" x14ac:dyDescent="0.15">
      <c r="A36" s="57"/>
      <c r="B36" s="6" t="s">
        <v>14</v>
      </c>
      <c r="C36" s="7"/>
      <c r="D36" s="7"/>
      <c r="E36" s="7"/>
      <c r="F36" s="7">
        <v>12</v>
      </c>
      <c r="G36" s="7">
        <v>2</v>
      </c>
      <c r="H36" s="7"/>
      <c r="I36" s="7"/>
      <c r="J36" s="7"/>
      <c r="M36" t="s">
        <v>73</v>
      </c>
    </row>
    <row r="37" spans="1:20" x14ac:dyDescent="0.15">
      <c r="L37" s="22" t="s">
        <v>1</v>
      </c>
      <c r="M37" s="21" t="s">
        <v>3</v>
      </c>
      <c r="N37" s="21" t="s">
        <v>5</v>
      </c>
      <c r="O37" s="21" t="s">
        <v>7</v>
      </c>
      <c r="P37" s="21" t="s">
        <v>92</v>
      </c>
    </row>
    <row r="38" spans="1:20" x14ac:dyDescent="0.15">
      <c r="L38" s="22" t="s">
        <v>21</v>
      </c>
      <c r="M38" s="21">
        <v>380</v>
      </c>
      <c r="N38" s="21">
        <v>234</v>
      </c>
      <c r="O38" s="21">
        <v>105</v>
      </c>
      <c r="P38">
        <f>INT(AVERAGE(M38:O38))</f>
        <v>239</v>
      </c>
    </row>
    <row r="39" spans="1:20" x14ac:dyDescent="0.15">
      <c r="L39" s="22" t="s">
        <v>22</v>
      </c>
      <c r="M39" s="21">
        <v>214</v>
      </c>
      <c r="N39" s="21">
        <v>168</v>
      </c>
      <c r="O39" s="21">
        <v>96</v>
      </c>
      <c r="P39">
        <f t="shared" ref="P39:P46" si="3">INT(AVERAGE(M39:O39))</f>
        <v>159</v>
      </c>
    </row>
    <row r="40" spans="1:20" x14ac:dyDescent="0.15">
      <c r="L40" s="22" t="s">
        <v>23</v>
      </c>
      <c r="M40" s="21">
        <v>133</v>
      </c>
      <c r="N40" s="21">
        <v>89</v>
      </c>
      <c r="O40" s="21">
        <v>47</v>
      </c>
      <c r="P40">
        <f t="shared" si="3"/>
        <v>89</v>
      </c>
    </row>
    <row r="41" spans="1:20" x14ac:dyDescent="0.15">
      <c r="L41" s="22" t="s">
        <v>24</v>
      </c>
      <c r="M41" s="21">
        <v>72</v>
      </c>
      <c r="N41" s="21">
        <v>84</v>
      </c>
      <c r="O41" s="21">
        <v>288</v>
      </c>
      <c r="P41">
        <f t="shared" si="3"/>
        <v>148</v>
      </c>
    </row>
    <row r="42" spans="1:20" x14ac:dyDescent="0.15">
      <c r="L42" s="22" t="s">
        <v>25</v>
      </c>
      <c r="M42" s="21">
        <v>107</v>
      </c>
      <c r="N42" s="21">
        <v>79</v>
      </c>
      <c r="O42" s="21">
        <v>83</v>
      </c>
      <c r="P42">
        <f t="shared" si="3"/>
        <v>89</v>
      </c>
    </row>
    <row r="43" spans="1:20" x14ac:dyDescent="0.15">
      <c r="L43" s="22" t="s">
        <v>26</v>
      </c>
      <c r="M43" s="21">
        <v>60</v>
      </c>
      <c r="N43" s="21">
        <v>180</v>
      </c>
      <c r="O43" s="21">
        <v>120</v>
      </c>
      <c r="P43">
        <f t="shared" si="3"/>
        <v>120</v>
      </c>
    </row>
    <row r="44" spans="1:20" x14ac:dyDescent="0.15">
      <c r="L44" s="22" t="s">
        <v>27</v>
      </c>
      <c r="M44" s="21">
        <v>18</v>
      </c>
      <c r="N44" s="21">
        <v>54</v>
      </c>
      <c r="O44" s="21">
        <v>36</v>
      </c>
      <c r="P44">
        <f t="shared" si="3"/>
        <v>36</v>
      </c>
    </row>
    <row r="45" spans="1:20" x14ac:dyDescent="0.15">
      <c r="L45" s="22" t="s">
        <v>28</v>
      </c>
      <c r="M45" s="21">
        <v>6</v>
      </c>
      <c r="N45" s="21">
        <v>18</v>
      </c>
      <c r="O45" s="21">
        <v>12</v>
      </c>
      <c r="P45">
        <f t="shared" si="3"/>
        <v>12</v>
      </c>
    </row>
    <row r="46" spans="1:20" x14ac:dyDescent="0.15">
      <c r="L46" s="22" t="s">
        <v>40</v>
      </c>
      <c r="M46" s="21">
        <v>1</v>
      </c>
      <c r="N46" s="21">
        <v>3</v>
      </c>
      <c r="O46" s="21">
        <v>2</v>
      </c>
      <c r="P46">
        <f t="shared" si="3"/>
        <v>2</v>
      </c>
    </row>
  </sheetData>
  <mergeCells count="3">
    <mergeCell ref="A18:A22"/>
    <mergeCell ref="A25:A29"/>
    <mergeCell ref="A32:A36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T40"/>
  <sheetViews>
    <sheetView workbookViewId="0">
      <selection activeCell="L10" sqref="L10"/>
    </sheetView>
  </sheetViews>
  <sheetFormatPr defaultRowHeight="13.5" x14ac:dyDescent="0.15"/>
  <cols>
    <col min="1" max="1" width="12" style="24" customWidth="1"/>
    <col min="2" max="2" width="9.625" style="24" customWidth="1"/>
    <col min="3" max="3" width="9.5" style="24" customWidth="1"/>
    <col min="4" max="4" width="10.125" style="24" customWidth="1"/>
    <col min="5" max="6" width="9.25" style="24" customWidth="1"/>
    <col min="7" max="7" width="10.125" style="24" customWidth="1"/>
    <col min="8" max="9" width="9.625" style="24" customWidth="1"/>
    <col min="10" max="16384" width="9" style="24"/>
  </cols>
  <sheetData>
    <row r="2" spans="1:20" x14ac:dyDescent="0.15">
      <c r="A2" s="24" t="s">
        <v>77</v>
      </c>
      <c r="H2" s="24" t="s">
        <v>81</v>
      </c>
      <c r="O2" s="24" t="s">
        <v>82</v>
      </c>
    </row>
    <row r="3" spans="1:20" x14ac:dyDescent="0.15">
      <c r="A3" s="17" t="s">
        <v>32</v>
      </c>
      <c r="B3" s="28" t="s">
        <v>21</v>
      </c>
      <c r="C3" s="28" t="s">
        <v>22</v>
      </c>
      <c r="D3" s="28" t="s">
        <v>23</v>
      </c>
      <c r="E3" s="28" t="s">
        <v>24</v>
      </c>
      <c r="F3" s="28" t="s">
        <v>25</v>
      </c>
      <c r="G3" s="29"/>
      <c r="H3" s="17" t="s">
        <v>32</v>
      </c>
      <c r="I3" s="28" t="s">
        <v>21</v>
      </c>
      <c r="J3" s="28" t="s">
        <v>22</v>
      </c>
      <c r="K3" s="28" t="s">
        <v>23</v>
      </c>
      <c r="L3" s="28" t="s">
        <v>24</v>
      </c>
      <c r="M3" s="28" t="s">
        <v>25</v>
      </c>
      <c r="O3" s="17" t="s">
        <v>32</v>
      </c>
      <c r="P3" s="28" t="s">
        <v>21</v>
      </c>
      <c r="Q3" s="28" t="s">
        <v>22</v>
      </c>
      <c r="R3" s="28" t="s">
        <v>23</v>
      </c>
      <c r="S3" s="28" t="s">
        <v>24</v>
      </c>
      <c r="T3" s="28" t="s">
        <v>25</v>
      </c>
    </row>
    <row r="4" spans="1:20" s="33" customFormat="1" x14ac:dyDescent="0.15">
      <c r="A4" s="33" t="s">
        <v>94</v>
      </c>
      <c r="B4" s="29">
        <v>0</v>
      </c>
      <c r="C4" s="29">
        <v>0</v>
      </c>
      <c r="D4" s="29">
        <v>0</v>
      </c>
      <c r="E4" s="29">
        <v>0</v>
      </c>
      <c r="F4" s="29">
        <v>0</v>
      </c>
      <c r="G4" s="29"/>
      <c r="H4" s="33" t="s">
        <v>94</v>
      </c>
      <c r="I4" s="29">
        <v>0</v>
      </c>
      <c r="J4" s="29">
        <v>0</v>
      </c>
      <c r="K4" s="29">
        <v>0</v>
      </c>
      <c r="L4" s="29">
        <v>0</v>
      </c>
      <c r="M4" s="29">
        <v>0</v>
      </c>
      <c r="O4" s="33" t="s">
        <v>94</v>
      </c>
      <c r="P4" s="29">
        <v>0</v>
      </c>
      <c r="Q4" s="29">
        <v>0</v>
      </c>
      <c r="R4" s="29">
        <v>0</v>
      </c>
      <c r="S4" s="29">
        <v>0</v>
      </c>
      <c r="T4" s="29">
        <v>0</v>
      </c>
    </row>
    <row r="5" spans="1:20" x14ac:dyDescent="0.15">
      <c r="A5" s="24" t="s">
        <v>33</v>
      </c>
      <c r="C5" s="24">
        <f>人物属性!M39</f>
        <v>214</v>
      </c>
      <c r="E5" s="24">
        <f>人物属性!M41</f>
        <v>72</v>
      </c>
      <c r="H5" s="24" t="s">
        <v>33</v>
      </c>
      <c r="J5" s="24">
        <f>人物属性!N39</f>
        <v>168</v>
      </c>
      <c r="L5" s="24">
        <f>人物属性!N41</f>
        <v>84</v>
      </c>
      <c r="O5" s="24" t="s">
        <v>33</v>
      </c>
      <c r="Q5" s="24">
        <f>人物属性!O39</f>
        <v>96</v>
      </c>
      <c r="S5" s="24">
        <f>人物属性!O41</f>
        <v>288</v>
      </c>
    </row>
    <row r="6" spans="1:20" x14ac:dyDescent="0.15">
      <c r="A6" s="24" t="s">
        <v>34</v>
      </c>
      <c r="D6" s="24">
        <f>人物属性!M40</f>
        <v>133</v>
      </c>
      <c r="F6" s="24">
        <f>人物属性!M42</f>
        <v>107</v>
      </c>
      <c r="H6" s="24" t="s">
        <v>34</v>
      </c>
      <c r="K6" s="24">
        <f>人物属性!N40</f>
        <v>89</v>
      </c>
      <c r="M6" s="24">
        <f>人物属性!N42</f>
        <v>79</v>
      </c>
      <c r="O6" s="24" t="s">
        <v>34</v>
      </c>
      <c r="R6" s="24">
        <f>人物属性!O40</f>
        <v>47</v>
      </c>
      <c r="T6" s="24">
        <f>人物属性!O42</f>
        <v>83</v>
      </c>
    </row>
    <row r="7" spans="1:20" x14ac:dyDescent="0.15">
      <c r="A7" s="24" t="s">
        <v>35</v>
      </c>
      <c r="B7" s="24">
        <f>人物属性!M38</f>
        <v>380</v>
      </c>
      <c r="H7" s="24" t="s">
        <v>35</v>
      </c>
      <c r="I7" s="24">
        <f>人物属性!N38</f>
        <v>234</v>
      </c>
      <c r="O7" s="24" t="s">
        <v>35</v>
      </c>
      <c r="P7" s="24">
        <f>人物属性!O38</f>
        <v>105</v>
      </c>
    </row>
    <row r="8" spans="1:20" x14ac:dyDescent="0.15">
      <c r="A8" s="24" t="s">
        <v>61</v>
      </c>
      <c r="C8" s="24">
        <f>C5*2</f>
        <v>428</v>
      </c>
      <c r="E8" s="24">
        <f>E5*2</f>
        <v>144</v>
      </c>
      <c r="H8" s="24" t="s">
        <v>61</v>
      </c>
      <c r="J8" s="24">
        <f>J5*2</f>
        <v>336</v>
      </c>
      <c r="L8" s="24">
        <f>L5*2</f>
        <v>168</v>
      </c>
      <c r="O8" s="24" t="s">
        <v>61</v>
      </c>
      <c r="Q8" s="24">
        <f>Q5*2</f>
        <v>192</v>
      </c>
      <c r="S8" s="24">
        <f>S5*2</f>
        <v>576</v>
      </c>
    </row>
    <row r="9" spans="1:20" x14ac:dyDescent="0.15">
      <c r="A9" s="24" t="s">
        <v>62</v>
      </c>
      <c r="D9" s="24">
        <f>D6*2</f>
        <v>266</v>
      </c>
      <c r="F9" s="24">
        <f>F6*2</f>
        <v>214</v>
      </c>
      <c r="H9" s="24" t="s">
        <v>62</v>
      </c>
      <c r="K9" s="24">
        <f>K6*2</f>
        <v>178</v>
      </c>
      <c r="M9" s="24">
        <f>M6*2</f>
        <v>158</v>
      </c>
      <c r="O9" s="24" t="s">
        <v>62</v>
      </c>
      <c r="R9" s="24">
        <f>R6*2</f>
        <v>94</v>
      </c>
      <c r="T9" s="24">
        <f>T6*2</f>
        <v>166</v>
      </c>
    </row>
    <row r="10" spans="1:20" x14ac:dyDescent="0.15">
      <c r="A10" s="24" t="s">
        <v>63</v>
      </c>
      <c r="B10" s="24">
        <f>B7*2</f>
        <v>760</v>
      </c>
      <c r="H10" s="24" t="s">
        <v>63</v>
      </c>
      <c r="I10" s="24">
        <f>I7*2</f>
        <v>468</v>
      </c>
      <c r="O10" s="24" t="s">
        <v>63</v>
      </c>
      <c r="P10" s="24">
        <f>P7*2</f>
        <v>210</v>
      </c>
    </row>
    <row r="11" spans="1:20" x14ac:dyDescent="0.15">
      <c r="A11" s="24" t="s">
        <v>64</v>
      </c>
      <c r="C11" s="24">
        <f>C5*3</f>
        <v>642</v>
      </c>
      <c r="E11" s="24">
        <f>E5*3</f>
        <v>216</v>
      </c>
      <c r="H11" s="24" t="s">
        <v>64</v>
      </c>
      <c r="J11" s="24">
        <f>J5*3</f>
        <v>504</v>
      </c>
      <c r="L11" s="24">
        <f>L5*3</f>
        <v>252</v>
      </c>
      <c r="O11" s="24" t="s">
        <v>64</v>
      </c>
      <c r="Q11" s="24">
        <f>Q5*3</f>
        <v>288</v>
      </c>
      <c r="S11" s="24">
        <f>S5*3</f>
        <v>864</v>
      </c>
    </row>
    <row r="12" spans="1:20" x14ac:dyDescent="0.15">
      <c r="A12" s="24" t="s">
        <v>65</v>
      </c>
      <c r="D12" s="24">
        <f>D6*3</f>
        <v>399</v>
      </c>
      <c r="F12" s="24">
        <f>F6*3</f>
        <v>321</v>
      </c>
      <c r="H12" s="24" t="s">
        <v>65</v>
      </c>
      <c r="K12" s="24">
        <f>K6*3</f>
        <v>267</v>
      </c>
      <c r="M12" s="24">
        <f>M6*3</f>
        <v>237</v>
      </c>
      <c r="O12" s="24" t="s">
        <v>65</v>
      </c>
      <c r="R12" s="24">
        <f>R6*3</f>
        <v>141</v>
      </c>
    </row>
    <row r="13" spans="1:20" x14ac:dyDescent="0.15">
      <c r="A13" s="24" t="s">
        <v>66</v>
      </c>
      <c r="B13" s="24">
        <f>B7*3</f>
        <v>1140</v>
      </c>
      <c r="H13" s="24" t="s">
        <v>66</v>
      </c>
      <c r="I13" s="24">
        <f>I7*3</f>
        <v>702</v>
      </c>
      <c r="O13" s="24" t="s">
        <v>66</v>
      </c>
      <c r="P13" s="24">
        <f>P7*3</f>
        <v>315</v>
      </c>
      <c r="T13" s="24">
        <f>T6*3</f>
        <v>249</v>
      </c>
    </row>
    <row r="14" spans="1:20" x14ac:dyDescent="0.15">
      <c r="A14" s="24" t="s">
        <v>67</v>
      </c>
      <c r="C14" s="24">
        <f>C5*4</f>
        <v>856</v>
      </c>
      <c r="E14" s="24">
        <f>E5*4</f>
        <v>288</v>
      </c>
      <c r="H14" s="24" t="s">
        <v>67</v>
      </c>
      <c r="J14" s="24">
        <f>J5*4</f>
        <v>672</v>
      </c>
      <c r="L14" s="24">
        <f>L5*4</f>
        <v>336</v>
      </c>
      <c r="O14" s="24" t="s">
        <v>67</v>
      </c>
      <c r="Q14" s="24">
        <f>Q5*4</f>
        <v>384</v>
      </c>
      <c r="S14" s="24">
        <f>S5*4</f>
        <v>1152</v>
      </c>
    </row>
    <row r="15" spans="1:20" x14ac:dyDescent="0.15">
      <c r="A15" s="24" t="s">
        <v>68</v>
      </c>
      <c r="D15" s="24">
        <f>D6*4</f>
        <v>532</v>
      </c>
      <c r="F15" s="24">
        <f>F6*5</f>
        <v>535</v>
      </c>
      <c r="H15" s="24" t="s">
        <v>68</v>
      </c>
      <c r="K15" s="24">
        <f>K6*4</f>
        <v>356</v>
      </c>
      <c r="M15" s="24">
        <f>M6*4</f>
        <v>316</v>
      </c>
      <c r="O15" s="24" t="s">
        <v>68</v>
      </c>
      <c r="R15" s="24">
        <f>R6*4</f>
        <v>188</v>
      </c>
    </row>
    <row r="16" spans="1:20" x14ac:dyDescent="0.15">
      <c r="A16" s="24" t="s">
        <v>69</v>
      </c>
      <c r="B16" s="24">
        <f>B7*4</f>
        <v>1520</v>
      </c>
      <c r="H16" s="24" t="s">
        <v>69</v>
      </c>
      <c r="I16" s="24">
        <f>I7*4</f>
        <v>936</v>
      </c>
      <c r="O16" s="24" t="s">
        <v>69</v>
      </c>
      <c r="P16" s="24">
        <f>P7*4</f>
        <v>420</v>
      </c>
      <c r="T16" s="24">
        <f>T6*4</f>
        <v>332</v>
      </c>
    </row>
    <row r="17" spans="1:20" x14ac:dyDescent="0.15">
      <c r="A17" s="24" t="s">
        <v>70</v>
      </c>
      <c r="C17" s="24">
        <f>C5*5</f>
        <v>1070</v>
      </c>
      <c r="E17" s="24">
        <f>E5*5</f>
        <v>360</v>
      </c>
      <c r="H17" s="24" t="s">
        <v>70</v>
      </c>
      <c r="J17" s="24">
        <f>J5*5</f>
        <v>840</v>
      </c>
      <c r="L17" s="24">
        <f>L5*5</f>
        <v>420</v>
      </c>
      <c r="O17" s="24" t="s">
        <v>70</v>
      </c>
      <c r="Q17" s="24">
        <f>Q5*5</f>
        <v>480</v>
      </c>
      <c r="S17" s="24">
        <f>S5*5</f>
        <v>1440</v>
      </c>
    </row>
    <row r="18" spans="1:20" x14ac:dyDescent="0.15">
      <c r="A18" s="24" t="s">
        <v>71</v>
      </c>
      <c r="D18" s="24">
        <f>D6*5</f>
        <v>665</v>
      </c>
      <c r="F18" s="24">
        <f>F6*5</f>
        <v>535</v>
      </c>
      <c r="H18" s="24" t="s">
        <v>71</v>
      </c>
      <c r="K18" s="24">
        <f>K6*5</f>
        <v>445</v>
      </c>
      <c r="M18" s="24">
        <f>M6*5</f>
        <v>395</v>
      </c>
      <c r="O18" s="24" t="s">
        <v>71</v>
      </c>
      <c r="R18" s="24">
        <f>R6*5</f>
        <v>235</v>
      </c>
    </row>
    <row r="19" spans="1:20" x14ac:dyDescent="0.15">
      <c r="A19" s="24" t="s">
        <v>72</v>
      </c>
      <c r="B19" s="24">
        <f>B7*5</f>
        <v>1900</v>
      </c>
      <c r="H19" s="24" t="s">
        <v>72</v>
      </c>
      <c r="I19" s="24">
        <f>I7*5</f>
        <v>1170</v>
      </c>
      <c r="O19" s="24" t="s">
        <v>72</v>
      </c>
      <c r="P19" s="24">
        <f>P7*5</f>
        <v>525</v>
      </c>
      <c r="T19" s="24">
        <f>T6*5</f>
        <v>415</v>
      </c>
    </row>
    <row r="20" spans="1:20" x14ac:dyDescent="0.15">
      <c r="A20" s="25"/>
    </row>
    <row r="21" spans="1:20" x14ac:dyDescent="0.15">
      <c r="A21" s="24" t="s">
        <v>83</v>
      </c>
      <c r="H21" s="24" t="s">
        <v>84</v>
      </c>
      <c r="O21" s="24" t="s">
        <v>85</v>
      </c>
    </row>
    <row r="22" spans="1:20" x14ac:dyDescent="0.15">
      <c r="A22" s="17" t="s">
        <v>32</v>
      </c>
      <c r="B22" s="28" t="s">
        <v>21</v>
      </c>
      <c r="C22" s="28" t="s">
        <v>22</v>
      </c>
      <c r="D22" s="28" t="s">
        <v>23</v>
      </c>
      <c r="E22" s="28" t="s">
        <v>24</v>
      </c>
      <c r="F22" s="28" t="s">
        <v>25</v>
      </c>
      <c r="G22" s="29"/>
      <c r="H22" s="17" t="s">
        <v>32</v>
      </c>
      <c r="I22" s="28" t="s">
        <v>21</v>
      </c>
      <c r="J22" s="28" t="s">
        <v>22</v>
      </c>
      <c r="K22" s="28" t="s">
        <v>23</v>
      </c>
      <c r="L22" s="28" t="s">
        <v>24</v>
      </c>
      <c r="M22" s="28" t="s">
        <v>25</v>
      </c>
      <c r="O22" s="17" t="s">
        <v>32</v>
      </c>
      <c r="P22" s="28" t="s">
        <v>21</v>
      </c>
      <c r="Q22" s="28" t="s">
        <v>22</v>
      </c>
      <c r="R22" s="28" t="s">
        <v>23</v>
      </c>
      <c r="S22" s="28" t="s">
        <v>24</v>
      </c>
      <c r="T22" s="28" t="s">
        <v>25</v>
      </c>
    </row>
    <row r="23" spans="1:20" x14ac:dyDescent="0.15">
      <c r="A23" s="54" t="s">
        <v>136</v>
      </c>
      <c r="B23" s="24">
        <f>VLOOKUP(A23,A3:F19,2,FALSE)</f>
        <v>0</v>
      </c>
      <c r="C23" s="24">
        <f>VLOOKUP(A23,A3:F19,3,FALSE)</f>
        <v>0</v>
      </c>
      <c r="D23" s="24">
        <f>VLOOKUP(A23,A3:F19,4,FALSE)</f>
        <v>133</v>
      </c>
      <c r="E23" s="24">
        <f>VLOOKUP(A23,A3:F19,5,FALSE)</f>
        <v>0</v>
      </c>
      <c r="F23" s="24">
        <f>VLOOKUP(A23,A3:F19,6,FALSE)</f>
        <v>107</v>
      </c>
      <c r="H23" s="55" t="s">
        <v>152</v>
      </c>
      <c r="I23" s="24">
        <f>VLOOKUP(H23,H3:M19,2,FALSE)</f>
        <v>468</v>
      </c>
      <c r="J23" s="24">
        <f>VLOOKUP(H23,H3:M19,3,FALSE)</f>
        <v>0</v>
      </c>
      <c r="K23" s="24">
        <f>VLOOKUP(H23,H3:M19,4,FALSE)</f>
        <v>0</v>
      </c>
      <c r="L23" s="24">
        <f>VLOOKUP(H23,H3:M19,5,FALSE)</f>
        <v>0</v>
      </c>
      <c r="M23" s="24">
        <f>VLOOKUP(H23,H3:M19,6,FALSE)</f>
        <v>0</v>
      </c>
      <c r="O23" s="48" t="s">
        <v>152</v>
      </c>
      <c r="P23" s="24">
        <f>VLOOKUP(O23,O3:T19,2,FALSE)</f>
        <v>210</v>
      </c>
      <c r="Q23" s="24">
        <f>VLOOKUP(O23,O3:T19,3,FALSE)</f>
        <v>0</v>
      </c>
      <c r="R23" s="24">
        <f>VLOOKUP(O23,O3:T19,4,FALSE)</f>
        <v>0</v>
      </c>
      <c r="S23" s="24">
        <f>VLOOKUP(O23,O3:T19,5,FALSE)</f>
        <v>0</v>
      </c>
      <c r="T23" s="24">
        <f>VLOOKUP(O23,O3:T19,6,FALSE)</f>
        <v>0</v>
      </c>
    </row>
    <row r="25" spans="1:20" x14ac:dyDescent="0.15">
      <c r="A25" s="32" t="s">
        <v>86</v>
      </c>
    </row>
    <row r="26" spans="1:20" x14ac:dyDescent="0.15">
      <c r="A26" s="30" t="s">
        <v>30</v>
      </c>
      <c r="B26" s="30" t="s">
        <v>88</v>
      </c>
      <c r="C26" s="30" t="s">
        <v>11</v>
      </c>
      <c r="D26" s="30" t="s">
        <v>89</v>
      </c>
      <c r="E26" s="30" t="s">
        <v>90</v>
      </c>
      <c r="F26" s="31" t="s">
        <v>21</v>
      </c>
      <c r="G26" s="31" t="s">
        <v>22</v>
      </c>
      <c r="H26" s="31" t="s">
        <v>23</v>
      </c>
      <c r="I26" s="31" t="s">
        <v>24</v>
      </c>
      <c r="J26" s="31" t="s">
        <v>25</v>
      </c>
      <c r="K26" s="31" t="s">
        <v>26</v>
      </c>
      <c r="L26" s="31" t="s">
        <v>27</v>
      </c>
      <c r="M26" s="31" t="s">
        <v>28</v>
      </c>
      <c r="N26" s="31" t="s">
        <v>93</v>
      </c>
    </row>
    <row r="27" spans="1:20" s="25" customFormat="1" x14ac:dyDescent="0.15">
      <c r="A27" s="33">
        <v>0</v>
      </c>
      <c r="B27" s="33">
        <v>0</v>
      </c>
      <c r="C27" s="33">
        <v>0</v>
      </c>
      <c r="D27" s="33">
        <v>0</v>
      </c>
      <c r="E27" s="33">
        <v>0</v>
      </c>
      <c r="F27" s="33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33">
        <v>0</v>
      </c>
      <c r="M27" s="33">
        <v>0</v>
      </c>
      <c r="N27" s="33">
        <v>0</v>
      </c>
    </row>
    <row r="28" spans="1:20" x14ac:dyDescent="0.15">
      <c r="A28" s="35">
        <v>1</v>
      </c>
      <c r="B28" s="24">
        <v>10</v>
      </c>
      <c r="C28" s="35">
        <v>10</v>
      </c>
      <c r="D28" s="24">
        <v>10</v>
      </c>
      <c r="E28" s="24">
        <v>10</v>
      </c>
      <c r="F28" s="24">
        <f>人物属性!P38</f>
        <v>239</v>
      </c>
      <c r="G28" s="24">
        <f>人物属性!P39</f>
        <v>159</v>
      </c>
      <c r="H28" s="24">
        <f>人物属性!P40</f>
        <v>89</v>
      </c>
      <c r="I28" s="24">
        <f>人物属性!P41</f>
        <v>148</v>
      </c>
      <c r="J28" s="24">
        <f>人物属性!P42</f>
        <v>89</v>
      </c>
      <c r="K28" s="24">
        <f>人物属性!P43</f>
        <v>120</v>
      </c>
      <c r="L28" s="24">
        <f>人物属性!P44</f>
        <v>36</v>
      </c>
      <c r="M28" s="24">
        <f>人物属性!P45</f>
        <v>12</v>
      </c>
      <c r="N28" s="24">
        <f>人物属性!P46</f>
        <v>2</v>
      </c>
    </row>
    <row r="29" spans="1:20" x14ac:dyDescent="0.15">
      <c r="A29" s="35">
        <v>2</v>
      </c>
      <c r="B29" s="24">
        <f>B28*A29</f>
        <v>20</v>
      </c>
      <c r="C29" s="35">
        <f>C28*A29</f>
        <v>20</v>
      </c>
      <c r="D29" s="24">
        <f>D28*A29</f>
        <v>20</v>
      </c>
      <c r="E29" s="24">
        <f>E28*A29</f>
        <v>20</v>
      </c>
      <c r="F29" s="24">
        <f>F28*A29</f>
        <v>478</v>
      </c>
      <c r="G29" s="24">
        <f>G28*A29</f>
        <v>318</v>
      </c>
      <c r="H29" s="24">
        <f>H28*A29</f>
        <v>178</v>
      </c>
      <c r="I29" s="24">
        <f>I28*A29</f>
        <v>296</v>
      </c>
      <c r="J29" s="24">
        <f>J28*2</f>
        <v>178</v>
      </c>
      <c r="K29" s="24">
        <f>K28*A29</f>
        <v>240</v>
      </c>
      <c r="L29" s="24">
        <f>L28*A29</f>
        <v>72</v>
      </c>
      <c r="M29" s="24">
        <f>M28*A29</f>
        <v>24</v>
      </c>
      <c r="N29" s="24">
        <f>N28*A29</f>
        <v>4</v>
      </c>
    </row>
    <row r="30" spans="1:20" x14ac:dyDescent="0.15">
      <c r="A30" s="35">
        <v>3</v>
      </c>
      <c r="B30" s="24">
        <f>B28*A30</f>
        <v>30</v>
      </c>
      <c r="C30" s="24">
        <f>C28*A30</f>
        <v>30</v>
      </c>
      <c r="D30" s="24">
        <f>D28*A30</f>
        <v>30</v>
      </c>
      <c r="E30" s="24">
        <f>E28*A30</f>
        <v>30</v>
      </c>
      <c r="F30" s="24">
        <f>F28*A30</f>
        <v>717</v>
      </c>
      <c r="G30" s="24">
        <f>G28*A30</f>
        <v>477</v>
      </c>
      <c r="H30" s="24">
        <f>H28*A30</f>
        <v>267</v>
      </c>
      <c r="I30" s="24">
        <f>I28*A30</f>
        <v>444</v>
      </c>
      <c r="J30" s="24">
        <f>J28*A30</f>
        <v>267</v>
      </c>
      <c r="K30" s="24">
        <f>K28*A30</f>
        <v>360</v>
      </c>
      <c r="L30" s="24">
        <f>L28*A30</f>
        <v>108</v>
      </c>
      <c r="M30" s="24">
        <f>M28*A30</f>
        <v>36</v>
      </c>
      <c r="N30" s="24">
        <f>N28*A30</f>
        <v>6</v>
      </c>
    </row>
    <row r="31" spans="1:20" x14ac:dyDescent="0.15">
      <c r="A31" s="24">
        <v>4</v>
      </c>
      <c r="B31" s="24">
        <f>B28*A31</f>
        <v>40</v>
      </c>
      <c r="C31" s="24">
        <f>C28*A31</f>
        <v>40</v>
      </c>
      <c r="D31" s="24">
        <f>D28*A31</f>
        <v>40</v>
      </c>
      <c r="E31" s="24">
        <f>E28*A31</f>
        <v>40</v>
      </c>
      <c r="F31" s="24">
        <f>F28*A31</f>
        <v>956</v>
      </c>
      <c r="G31" s="24">
        <f>G28*A31</f>
        <v>636</v>
      </c>
      <c r="H31" s="24">
        <f>H28*A31</f>
        <v>356</v>
      </c>
      <c r="I31" s="24">
        <f>I28*A31</f>
        <v>592</v>
      </c>
      <c r="J31" s="24">
        <f>J28*A31</f>
        <v>356</v>
      </c>
      <c r="K31" s="24">
        <f>K28*A31</f>
        <v>480</v>
      </c>
      <c r="L31" s="24">
        <f>L28*A31</f>
        <v>144</v>
      </c>
      <c r="M31" s="24">
        <f>M28*A31</f>
        <v>48</v>
      </c>
      <c r="N31" s="24">
        <f>N28*A31</f>
        <v>8</v>
      </c>
    </row>
    <row r="32" spans="1:20" x14ac:dyDescent="0.15">
      <c r="A32" s="24">
        <v>5</v>
      </c>
      <c r="B32" s="24">
        <f>B28*A32</f>
        <v>50</v>
      </c>
      <c r="C32" s="24">
        <f>C28*A32</f>
        <v>50</v>
      </c>
      <c r="D32" s="24">
        <f>D28*A32</f>
        <v>50</v>
      </c>
      <c r="E32" s="24">
        <f>E28*A32</f>
        <v>50</v>
      </c>
      <c r="F32" s="24">
        <f>F28*A32</f>
        <v>1195</v>
      </c>
      <c r="G32" s="24">
        <f>G28*A32</f>
        <v>795</v>
      </c>
      <c r="H32" s="24">
        <f>H28*A32</f>
        <v>445</v>
      </c>
      <c r="I32" s="24">
        <f>I28*A32</f>
        <v>740</v>
      </c>
      <c r="J32" s="24">
        <f>J28*A32</f>
        <v>445</v>
      </c>
      <c r="K32" s="24">
        <f>K28*A32</f>
        <v>600</v>
      </c>
      <c r="L32" s="24">
        <f>L28*A32</f>
        <v>180</v>
      </c>
      <c r="M32" s="24">
        <f>M28*A32</f>
        <v>60</v>
      </c>
      <c r="N32" s="24">
        <f>N28*A32</f>
        <v>10</v>
      </c>
    </row>
    <row r="34" spans="1:16" ht="15" customHeight="1" x14ac:dyDescent="0.15">
      <c r="A34" s="32" t="s">
        <v>95</v>
      </c>
    </row>
    <row r="35" spans="1:16" x14ac:dyDescent="0.15">
      <c r="A35" s="30" t="s">
        <v>91</v>
      </c>
      <c r="B35" s="30" t="s">
        <v>88</v>
      </c>
      <c r="C35" s="30" t="s">
        <v>87</v>
      </c>
      <c r="D35" s="30" t="s">
        <v>89</v>
      </c>
      <c r="E35" s="30" t="s">
        <v>90</v>
      </c>
      <c r="F35" s="31" t="s">
        <v>21</v>
      </c>
      <c r="G35" s="31" t="s">
        <v>22</v>
      </c>
      <c r="H35" s="31" t="s">
        <v>23</v>
      </c>
      <c r="I35" s="31" t="s">
        <v>24</v>
      </c>
      <c r="J35" s="31" t="s">
        <v>25</v>
      </c>
      <c r="K35" s="31" t="s">
        <v>26</v>
      </c>
      <c r="L35" s="31" t="s">
        <v>27</v>
      </c>
      <c r="M35" s="31" t="s">
        <v>28</v>
      </c>
      <c r="N35" s="31" t="s">
        <v>93</v>
      </c>
    </row>
    <row r="36" spans="1:16" x14ac:dyDescent="0.15">
      <c r="A36" s="24">
        <v>2</v>
      </c>
      <c r="B36" s="24">
        <f>VLOOKUP(A36,A26:N32,2,FALSE)</f>
        <v>20</v>
      </c>
      <c r="C36" s="24">
        <f>VLOOKUP(A36,A26:N32,3,FALSE)</f>
        <v>20</v>
      </c>
      <c r="D36" s="24">
        <f>VLOOKUP(A36,A26:N32,4,FALSE)</f>
        <v>20</v>
      </c>
      <c r="E36" s="24">
        <f>VLOOKUP(A36,A26:N32,5,FALSE)</f>
        <v>20</v>
      </c>
      <c r="F36" s="24">
        <f>VLOOKUP(A36,A26:N32,6,FALSE)</f>
        <v>478</v>
      </c>
      <c r="G36" s="24">
        <f>VLOOKUP(A36,A26:N32,7,FALSE)</f>
        <v>318</v>
      </c>
      <c r="H36" s="24">
        <f>VLOOKUP(A36,A26:N32,8,FALSE)</f>
        <v>178</v>
      </c>
      <c r="I36" s="24">
        <f>VLOOKUP(A36,A26:N32,9,FALSE)</f>
        <v>296</v>
      </c>
      <c r="J36" s="24">
        <f>VLOOKUP(A36,A26:N32,10,FALSE)</f>
        <v>178</v>
      </c>
      <c r="K36" s="24">
        <f>VLOOKUP(A36,A26:N32,11,FALSE)</f>
        <v>240</v>
      </c>
      <c r="L36" s="24">
        <f>VLOOKUP(A36,A26:N32,12,FALSE)</f>
        <v>72</v>
      </c>
      <c r="M36" s="24">
        <f>VLOOKUP(A36,A26:N32,13,FALSE)</f>
        <v>24</v>
      </c>
      <c r="N36" s="24">
        <f>VLOOKUP(A36,A26:N32,14,FALSE)</f>
        <v>4</v>
      </c>
    </row>
    <row r="38" spans="1:16" x14ac:dyDescent="0.15">
      <c r="A38" s="32" t="s">
        <v>121</v>
      </c>
    </row>
    <row r="39" spans="1:16" x14ac:dyDescent="0.15">
      <c r="A39" s="30" t="s">
        <v>118</v>
      </c>
      <c r="B39" s="30" t="s">
        <v>119</v>
      </c>
      <c r="C39" s="30" t="s">
        <v>120</v>
      </c>
      <c r="D39" s="30" t="s">
        <v>9</v>
      </c>
      <c r="E39" s="30" t="s">
        <v>11</v>
      </c>
      <c r="F39" s="30" t="s">
        <v>13</v>
      </c>
      <c r="G39" s="30" t="s">
        <v>15</v>
      </c>
      <c r="H39" s="31" t="s">
        <v>21</v>
      </c>
      <c r="I39" s="31" t="s">
        <v>22</v>
      </c>
      <c r="J39" s="31" t="s">
        <v>23</v>
      </c>
      <c r="K39" s="31" t="s">
        <v>24</v>
      </c>
      <c r="L39" s="31" t="s">
        <v>25</v>
      </c>
      <c r="M39" s="31" t="s">
        <v>26</v>
      </c>
      <c r="N39" s="31" t="s">
        <v>27</v>
      </c>
      <c r="O39" s="31" t="s">
        <v>28</v>
      </c>
      <c r="P39" s="31" t="s">
        <v>40</v>
      </c>
    </row>
    <row r="40" spans="1:16" x14ac:dyDescent="0.15">
      <c r="A40" s="55">
        <v>0</v>
      </c>
      <c r="B40" s="55">
        <v>0</v>
      </c>
      <c r="C40" s="24">
        <v>0</v>
      </c>
      <c r="D40" s="24">
        <v>0</v>
      </c>
      <c r="E40" s="24">
        <v>0</v>
      </c>
      <c r="F40" s="24">
        <v>0</v>
      </c>
      <c r="G40" s="24">
        <v>0</v>
      </c>
      <c r="H40" s="24">
        <v>0</v>
      </c>
      <c r="I40" s="36">
        <v>0</v>
      </c>
      <c r="J40" s="24">
        <v>0</v>
      </c>
      <c r="K40" s="24">
        <v>0</v>
      </c>
      <c r="L40" s="24">
        <v>0</v>
      </c>
      <c r="M40" s="35">
        <v>0</v>
      </c>
      <c r="N40" s="24">
        <v>0</v>
      </c>
      <c r="O40" s="24">
        <v>0</v>
      </c>
      <c r="P40" s="24">
        <v>0</v>
      </c>
    </row>
  </sheetData>
  <phoneticPr fontId="1" type="noConversion"/>
  <dataValidations count="4">
    <dataValidation type="list" allowBlank="1" showInputMessage="1" showErrorMessage="1" sqref="A36">
      <formula1>$A$27:$A$32</formula1>
    </dataValidation>
    <dataValidation type="list" allowBlank="1" showInputMessage="1" showErrorMessage="1" sqref="O23">
      <formula1>$O$4:$O$19</formula1>
    </dataValidation>
    <dataValidation type="list" allowBlank="1" showInputMessage="1" showErrorMessage="1" sqref="H23">
      <formula1>$H$4:$H$19</formula1>
    </dataValidation>
    <dataValidation type="list" allowBlank="1" showInputMessage="1" showErrorMessage="1" sqref="A23">
      <formula1>$A$4:$A$19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51"/>
  <sheetViews>
    <sheetView workbookViewId="0">
      <selection activeCell="A11" sqref="A11:XFD11"/>
    </sheetView>
  </sheetViews>
  <sheetFormatPr defaultRowHeight="13.5" x14ac:dyDescent="0.15"/>
  <cols>
    <col min="2" max="2" width="10.625" customWidth="1"/>
    <col min="3" max="3" width="19" customWidth="1"/>
    <col min="4" max="4" width="20.875" customWidth="1"/>
    <col min="5" max="5" width="21.125" customWidth="1"/>
    <col min="6" max="6" width="16.625" customWidth="1"/>
    <col min="7" max="7" width="16.75" customWidth="1"/>
  </cols>
  <sheetData>
    <row r="1" spans="1:7" x14ac:dyDescent="0.15">
      <c r="A1" t="s">
        <v>54</v>
      </c>
      <c r="B1" t="s">
        <v>55</v>
      </c>
      <c r="C1" t="s">
        <v>58</v>
      </c>
      <c r="D1" t="s">
        <v>59</v>
      </c>
      <c r="E1" s="56" t="s">
        <v>155</v>
      </c>
      <c r="F1" t="s">
        <v>156</v>
      </c>
      <c r="G1" t="s">
        <v>56</v>
      </c>
    </row>
    <row r="2" spans="1:7" x14ac:dyDescent="0.15">
      <c r="A2">
        <v>1</v>
      </c>
      <c r="B2">
        <f>INT((A2-1)^3*(A2-1)*2+20)</f>
        <v>20</v>
      </c>
      <c r="C2">
        <f>2+INT(A2/10)</f>
        <v>2</v>
      </c>
      <c r="D2">
        <v>1</v>
      </c>
      <c r="E2">
        <v>1</v>
      </c>
      <c r="F2">
        <v>1</v>
      </c>
      <c r="G2">
        <f>EVEN(B2/E2)</f>
        <v>20</v>
      </c>
    </row>
    <row r="3" spans="1:7" x14ac:dyDescent="0.15">
      <c r="A3">
        <v>2</v>
      </c>
      <c r="B3">
        <f t="shared" ref="B3:B51" si="0">INT((A3-1)^3*(A3-1)*2+20)</f>
        <v>22</v>
      </c>
      <c r="C3">
        <f t="shared" ref="C3:C51" si="1">2+INT(A3/10)</f>
        <v>2</v>
      </c>
      <c r="D3">
        <v>2</v>
      </c>
      <c r="E3">
        <v>2</v>
      </c>
      <c r="F3">
        <f>F2+E3</f>
        <v>3</v>
      </c>
      <c r="G3">
        <f t="shared" ref="G3:G51" si="2">EVEN(B3/E3)</f>
        <v>12</v>
      </c>
    </row>
    <row r="4" spans="1:7" x14ac:dyDescent="0.15">
      <c r="A4">
        <v>3</v>
      </c>
      <c r="B4">
        <f t="shared" si="0"/>
        <v>52</v>
      </c>
      <c r="C4">
        <f t="shared" si="1"/>
        <v>2</v>
      </c>
      <c r="D4">
        <v>3</v>
      </c>
      <c r="E4">
        <v>3</v>
      </c>
      <c r="F4">
        <f>F3+E4</f>
        <v>6</v>
      </c>
      <c r="G4">
        <f t="shared" si="2"/>
        <v>18</v>
      </c>
    </row>
    <row r="5" spans="1:7" x14ac:dyDescent="0.15">
      <c r="A5">
        <v>4</v>
      </c>
      <c r="B5">
        <f t="shared" si="0"/>
        <v>182</v>
      </c>
      <c r="C5">
        <f t="shared" si="1"/>
        <v>2</v>
      </c>
      <c r="D5">
        <v>4</v>
      </c>
      <c r="E5">
        <v>4</v>
      </c>
      <c r="F5">
        <f t="shared" ref="F5:F51" si="3">F4+E5</f>
        <v>10</v>
      </c>
      <c r="G5">
        <f t="shared" si="2"/>
        <v>46</v>
      </c>
    </row>
    <row r="6" spans="1:7" x14ac:dyDescent="0.15">
      <c r="A6">
        <v>5</v>
      </c>
      <c r="B6">
        <f t="shared" si="0"/>
        <v>532</v>
      </c>
      <c r="C6">
        <f t="shared" si="1"/>
        <v>2</v>
      </c>
      <c r="D6">
        <v>5</v>
      </c>
      <c r="E6">
        <v>5</v>
      </c>
      <c r="F6">
        <f t="shared" si="3"/>
        <v>15</v>
      </c>
      <c r="G6">
        <f t="shared" si="2"/>
        <v>108</v>
      </c>
    </row>
    <row r="7" spans="1:7" x14ac:dyDescent="0.15">
      <c r="A7">
        <v>6</v>
      </c>
      <c r="B7">
        <f t="shared" si="0"/>
        <v>1270</v>
      </c>
      <c r="C7">
        <f t="shared" si="1"/>
        <v>2</v>
      </c>
      <c r="D7">
        <v>6</v>
      </c>
      <c r="E7">
        <v>6</v>
      </c>
      <c r="F7">
        <f t="shared" si="3"/>
        <v>21</v>
      </c>
      <c r="G7">
        <f t="shared" si="2"/>
        <v>212</v>
      </c>
    </row>
    <row r="8" spans="1:7" x14ac:dyDescent="0.15">
      <c r="A8">
        <v>7</v>
      </c>
      <c r="B8">
        <f t="shared" si="0"/>
        <v>2612</v>
      </c>
      <c r="C8">
        <f t="shared" si="1"/>
        <v>2</v>
      </c>
      <c r="D8">
        <v>7</v>
      </c>
      <c r="E8">
        <v>7</v>
      </c>
      <c r="F8">
        <f t="shared" si="3"/>
        <v>28</v>
      </c>
      <c r="G8">
        <f t="shared" si="2"/>
        <v>374</v>
      </c>
    </row>
    <row r="9" spans="1:7" x14ac:dyDescent="0.15">
      <c r="A9">
        <v>8</v>
      </c>
      <c r="B9">
        <f t="shared" si="0"/>
        <v>4822</v>
      </c>
      <c r="C9">
        <f t="shared" si="1"/>
        <v>2</v>
      </c>
      <c r="D9">
        <v>8</v>
      </c>
      <c r="E9">
        <v>8</v>
      </c>
      <c r="F9">
        <f t="shared" si="3"/>
        <v>36</v>
      </c>
      <c r="G9">
        <f t="shared" si="2"/>
        <v>604</v>
      </c>
    </row>
    <row r="10" spans="1:7" x14ac:dyDescent="0.15">
      <c r="A10">
        <v>9</v>
      </c>
      <c r="B10">
        <f t="shared" si="0"/>
        <v>8212</v>
      </c>
      <c r="C10">
        <f t="shared" si="1"/>
        <v>2</v>
      </c>
      <c r="D10">
        <v>9</v>
      </c>
      <c r="E10">
        <v>9</v>
      </c>
      <c r="F10">
        <f t="shared" si="3"/>
        <v>45</v>
      </c>
      <c r="G10">
        <f t="shared" si="2"/>
        <v>914</v>
      </c>
    </row>
    <row r="11" spans="1:7" x14ac:dyDescent="0.15">
      <c r="A11">
        <v>10</v>
      </c>
      <c r="B11">
        <f t="shared" si="0"/>
        <v>13142</v>
      </c>
      <c r="C11">
        <f t="shared" si="1"/>
        <v>3</v>
      </c>
      <c r="D11">
        <v>10</v>
      </c>
      <c r="E11">
        <v>10</v>
      </c>
      <c r="F11">
        <f t="shared" si="3"/>
        <v>55</v>
      </c>
      <c r="G11">
        <f t="shared" si="2"/>
        <v>1316</v>
      </c>
    </row>
    <row r="12" spans="1:7" x14ac:dyDescent="0.15">
      <c r="A12">
        <v>11</v>
      </c>
      <c r="B12">
        <f t="shared" si="0"/>
        <v>20020</v>
      </c>
      <c r="C12">
        <f t="shared" si="1"/>
        <v>3</v>
      </c>
      <c r="D12">
        <v>11</v>
      </c>
      <c r="E12">
        <v>11</v>
      </c>
      <c r="F12">
        <f t="shared" si="3"/>
        <v>66</v>
      </c>
      <c r="G12">
        <f t="shared" si="2"/>
        <v>1820</v>
      </c>
    </row>
    <row r="13" spans="1:7" x14ac:dyDescent="0.15">
      <c r="A13">
        <v>12</v>
      </c>
      <c r="B13">
        <f t="shared" si="0"/>
        <v>29302</v>
      </c>
      <c r="C13">
        <f t="shared" si="1"/>
        <v>3</v>
      </c>
      <c r="D13">
        <v>12</v>
      </c>
      <c r="E13">
        <v>12</v>
      </c>
      <c r="F13">
        <f t="shared" si="3"/>
        <v>78</v>
      </c>
      <c r="G13">
        <f t="shared" si="2"/>
        <v>2442</v>
      </c>
    </row>
    <row r="14" spans="1:7" x14ac:dyDescent="0.15">
      <c r="A14">
        <v>13</v>
      </c>
      <c r="B14">
        <f t="shared" si="0"/>
        <v>41492</v>
      </c>
      <c r="C14">
        <f t="shared" si="1"/>
        <v>3</v>
      </c>
      <c r="D14">
        <v>13</v>
      </c>
      <c r="E14">
        <v>13</v>
      </c>
      <c r="F14">
        <f t="shared" si="3"/>
        <v>91</v>
      </c>
      <c r="G14">
        <f t="shared" si="2"/>
        <v>3192</v>
      </c>
    </row>
    <row r="15" spans="1:7" x14ac:dyDescent="0.15">
      <c r="A15">
        <v>14</v>
      </c>
      <c r="B15">
        <f t="shared" si="0"/>
        <v>57142</v>
      </c>
      <c r="C15">
        <f t="shared" si="1"/>
        <v>3</v>
      </c>
      <c r="D15">
        <v>14</v>
      </c>
      <c r="E15">
        <v>14</v>
      </c>
      <c r="F15">
        <f t="shared" si="3"/>
        <v>105</v>
      </c>
      <c r="G15">
        <f t="shared" si="2"/>
        <v>4082</v>
      </c>
    </row>
    <row r="16" spans="1:7" x14ac:dyDescent="0.15">
      <c r="A16">
        <v>15</v>
      </c>
      <c r="B16">
        <f t="shared" si="0"/>
        <v>76852</v>
      </c>
      <c r="C16">
        <f t="shared" si="1"/>
        <v>3</v>
      </c>
      <c r="D16">
        <v>15</v>
      </c>
      <c r="E16">
        <v>15</v>
      </c>
      <c r="F16">
        <f t="shared" si="3"/>
        <v>120</v>
      </c>
      <c r="G16">
        <f t="shared" si="2"/>
        <v>5124</v>
      </c>
    </row>
    <row r="17" spans="1:7" x14ac:dyDescent="0.15">
      <c r="A17">
        <v>16</v>
      </c>
      <c r="B17">
        <f t="shared" si="0"/>
        <v>101270</v>
      </c>
      <c r="C17">
        <f t="shared" si="1"/>
        <v>3</v>
      </c>
      <c r="D17">
        <v>16</v>
      </c>
      <c r="E17">
        <v>16</v>
      </c>
      <c r="F17">
        <f t="shared" si="3"/>
        <v>136</v>
      </c>
      <c r="G17">
        <f t="shared" si="2"/>
        <v>6330</v>
      </c>
    </row>
    <row r="18" spans="1:7" x14ac:dyDescent="0.15">
      <c r="A18">
        <v>17</v>
      </c>
      <c r="B18">
        <f t="shared" si="0"/>
        <v>131092</v>
      </c>
      <c r="C18">
        <f t="shared" si="1"/>
        <v>3</v>
      </c>
      <c r="D18">
        <v>17</v>
      </c>
      <c r="E18">
        <v>17</v>
      </c>
      <c r="F18">
        <f t="shared" si="3"/>
        <v>153</v>
      </c>
      <c r="G18">
        <f t="shared" si="2"/>
        <v>7712</v>
      </c>
    </row>
    <row r="19" spans="1:7" x14ac:dyDescent="0.15">
      <c r="A19">
        <v>18</v>
      </c>
      <c r="B19">
        <f t="shared" si="0"/>
        <v>167062</v>
      </c>
      <c r="C19">
        <f t="shared" si="1"/>
        <v>3</v>
      </c>
      <c r="D19">
        <v>18</v>
      </c>
      <c r="E19">
        <v>18</v>
      </c>
      <c r="F19">
        <f t="shared" si="3"/>
        <v>171</v>
      </c>
      <c r="G19">
        <f t="shared" si="2"/>
        <v>9282</v>
      </c>
    </row>
    <row r="20" spans="1:7" x14ac:dyDescent="0.15">
      <c r="A20">
        <v>19</v>
      </c>
      <c r="B20">
        <f t="shared" si="0"/>
        <v>209972</v>
      </c>
      <c r="C20">
        <f t="shared" si="1"/>
        <v>3</v>
      </c>
      <c r="D20">
        <v>19</v>
      </c>
      <c r="E20">
        <v>19</v>
      </c>
      <c r="F20">
        <f t="shared" si="3"/>
        <v>190</v>
      </c>
      <c r="G20">
        <f t="shared" si="2"/>
        <v>11052</v>
      </c>
    </row>
    <row r="21" spans="1:7" x14ac:dyDescent="0.15">
      <c r="A21">
        <v>20</v>
      </c>
      <c r="B21">
        <f t="shared" si="0"/>
        <v>260662</v>
      </c>
      <c r="C21">
        <f t="shared" si="1"/>
        <v>4</v>
      </c>
      <c r="D21">
        <v>20</v>
      </c>
      <c r="E21">
        <v>20</v>
      </c>
      <c r="F21">
        <f t="shared" si="3"/>
        <v>210</v>
      </c>
      <c r="G21">
        <f t="shared" si="2"/>
        <v>13034</v>
      </c>
    </row>
    <row r="22" spans="1:7" x14ac:dyDescent="0.15">
      <c r="A22">
        <v>21</v>
      </c>
      <c r="B22">
        <f t="shared" si="0"/>
        <v>320020</v>
      </c>
      <c r="C22">
        <f t="shared" si="1"/>
        <v>4</v>
      </c>
      <c r="D22">
        <v>21</v>
      </c>
      <c r="E22">
        <v>21</v>
      </c>
      <c r="F22">
        <f t="shared" si="3"/>
        <v>231</v>
      </c>
      <c r="G22">
        <f t="shared" si="2"/>
        <v>15240</v>
      </c>
    </row>
    <row r="23" spans="1:7" x14ac:dyDescent="0.15">
      <c r="A23">
        <v>22</v>
      </c>
      <c r="B23">
        <f t="shared" si="0"/>
        <v>388982</v>
      </c>
      <c r="C23">
        <f t="shared" si="1"/>
        <v>4</v>
      </c>
      <c r="D23">
        <v>22</v>
      </c>
      <c r="E23">
        <v>22</v>
      </c>
      <c r="F23">
        <f t="shared" si="3"/>
        <v>253</v>
      </c>
      <c r="G23">
        <f t="shared" si="2"/>
        <v>17682</v>
      </c>
    </row>
    <row r="24" spans="1:7" x14ac:dyDescent="0.15">
      <c r="A24">
        <v>23</v>
      </c>
      <c r="B24">
        <f t="shared" si="0"/>
        <v>468532</v>
      </c>
      <c r="C24">
        <f t="shared" si="1"/>
        <v>4</v>
      </c>
      <c r="D24">
        <v>23</v>
      </c>
      <c r="E24">
        <v>23</v>
      </c>
      <c r="F24">
        <f t="shared" si="3"/>
        <v>276</v>
      </c>
      <c r="G24">
        <f t="shared" si="2"/>
        <v>20372</v>
      </c>
    </row>
    <row r="25" spans="1:7" x14ac:dyDescent="0.15">
      <c r="A25">
        <v>24</v>
      </c>
      <c r="B25">
        <f t="shared" si="0"/>
        <v>559702</v>
      </c>
      <c r="C25">
        <f t="shared" si="1"/>
        <v>4</v>
      </c>
      <c r="D25">
        <v>24</v>
      </c>
      <c r="E25">
        <v>24</v>
      </c>
      <c r="F25">
        <f t="shared" si="3"/>
        <v>300</v>
      </c>
      <c r="G25">
        <f t="shared" si="2"/>
        <v>23322</v>
      </c>
    </row>
    <row r="26" spans="1:7" x14ac:dyDescent="0.15">
      <c r="A26">
        <v>25</v>
      </c>
      <c r="B26">
        <f t="shared" si="0"/>
        <v>663572</v>
      </c>
      <c r="C26">
        <f t="shared" si="1"/>
        <v>4</v>
      </c>
      <c r="D26">
        <v>25</v>
      </c>
      <c r="E26">
        <v>25</v>
      </c>
      <c r="F26">
        <f t="shared" si="3"/>
        <v>325</v>
      </c>
      <c r="G26">
        <f t="shared" si="2"/>
        <v>26544</v>
      </c>
    </row>
    <row r="27" spans="1:7" x14ac:dyDescent="0.15">
      <c r="A27">
        <v>26</v>
      </c>
      <c r="B27">
        <f t="shared" si="0"/>
        <v>781270</v>
      </c>
      <c r="C27">
        <f t="shared" si="1"/>
        <v>4</v>
      </c>
      <c r="D27">
        <v>26</v>
      </c>
      <c r="E27">
        <v>26</v>
      </c>
      <c r="F27">
        <f t="shared" si="3"/>
        <v>351</v>
      </c>
      <c r="G27">
        <f t="shared" si="2"/>
        <v>30050</v>
      </c>
    </row>
    <row r="28" spans="1:7" x14ac:dyDescent="0.15">
      <c r="A28">
        <v>27</v>
      </c>
      <c r="B28">
        <f t="shared" si="0"/>
        <v>913972</v>
      </c>
      <c r="C28">
        <f t="shared" si="1"/>
        <v>4</v>
      </c>
      <c r="D28">
        <v>27</v>
      </c>
      <c r="E28">
        <v>27</v>
      </c>
      <c r="F28">
        <f t="shared" si="3"/>
        <v>378</v>
      </c>
      <c r="G28">
        <f t="shared" si="2"/>
        <v>33852</v>
      </c>
    </row>
    <row r="29" spans="1:7" x14ac:dyDescent="0.15">
      <c r="A29">
        <v>28</v>
      </c>
      <c r="B29">
        <f t="shared" si="0"/>
        <v>1062902</v>
      </c>
      <c r="C29">
        <f t="shared" si="1"/>
        <v>4</v>
      </c>
      <c r="D29">
        <v>28</v>
      </c>
      <c r="E29">
        <v>28</v>
      </c>
      <c r="F29">
        <f t="shared" si="3"/>
        <v>406</v>
      </c>
      <c r="G29">
        <f t="shared" si="2"/>
        <v>37962</v>
      </c>
    </row>
    <row r="30" spans="1:7" x14ac:dyDescent="0.15">
      <c r="A30">
        <v>29</v>
      </c>
      <c r="B30">
        <f t="shared" si="0"/>
        <v>1229332</v>
      </c>
      <c r="C30">
        <f t="shared" si="1"/>
        <v>4</v>
      </c>
      <c r="D30">
        <v>29</v>
      </c>
      <c r="E30">
        <v>29</v>
      </c>
      <c r="F30">
        <f t="shared" si="3"/>
        <v>435</v>
      </c>
      <c r="G30">
        <f t="shared" si="2"/>
        <v>42392</v>
      </c>
    </row>
    <row r="31" spans="1:7" x14ac:dyDescent="0.15">
      <c r="A31">
        <v>30</v>
      </c>
      <c r="B31">
        <f t="shared" si="0"/>
        <v>1414582</v>
      </c>
      <c r="C31">
        <f t="shared" si="1"/>
        <v>5</v>
      </c>
      <c r="D31">
        <v>30</v>
      </c>
      <c r="E31">
        <v>30</v>
      </c>
      <c r="F31">
        <f t="shared" si="3"/>
        <v>465</v>
      </c>
      <c r="G31">
        <f t="shared" si="2"/>
        <v>47154</v>
      </c>
    </row>
    <row r="32" spans="1:7" x14ac:dyDescent="0.15">
      <c r="A32">
        <v>31</v>
      </c>
      <c r="B32">
        <f t="shared" si="0"/>
        <v>1620020</v>
      </c>
      <c r="C32">
        <f t="shared" si="1"/>
        <v>5</v>
      </c>
      <c r="D32">
        <v>31</v>
      </c>
      <c r="E32">
        <v>31</v>
      </c>
      <c r="F32">
        <f t="shared" si="3"/>
        <v>496</v>
      </c>
      <c r="G32">
        <f t="shared" si="2"/>
        <v>52260</v>
      </c>
    </row>
    <row r="33" spans="1:7" x14ac:dyDescent="0.15">
      <c r="A33">
        <v>32</v>
      </c>
      <c r="B33">
        <f t="shared" si="0"/>
        <v>1847062</v>
      </c>
      <c r="C33">
        <f t="shared" si="1"/>
        <v>5</v>
      </c>
      <c r="D33">
        <v>32</v>
      </c>
      <c r="E33">
        <v>32</v>
      </c>
      <c r="F33">
        <f t="shared" si="3"/>
        <v>528</v>
      </c>
      <c r="G33">
        <f t="shared" si="2"/>
        <v>57722</v>
      </c>
    </row>
    <row r="34" spans="1:7" x14ac:dyDescent="0.15">
      <c r="A34">
        <v>33</v>
      </c>
      <c r="B34">
        <f t="shared" si="0"/>
        <v>2097172</v>
      </c>
      <c r="C34">
        <f t="shared" si="1"/>
        <v>5</v>
      </c>
      <c r="D34">
        <v>33</v>
      </c>
      <c r="E34">
        <v>33</v>
      </c>
      <c r="F34">
        <f t="shared" si="3"/>
        <v>561</v>
      </c>
      <c r="G34">
        <f t="shared" si="2"/>
        <v>63552</v>
      </c>
    </row>
    <row r="35" spans="1:7" x14ac:dyDescent="0.15">
      <c r="A35">
        <v>34</v>
      </c>
      <c r="B35">
        <f t="shared" si="0"/>
        <v>2371862</v>
      </c>
      <c r="C35">
        <f t="shared" si="1"/>
        <v>5</v>
      </c>
      <c r="D35">
        <v>34</v>
      </c>
      <c r="E35">
        <v>34</v>
      </c>
      <c r="F35">
        <f t="shared" si="3"/>
        <v>595</v>
      </c>
      <c r="G35">
        <f t="shared" si="2"/>
        <v>69762</v>
      </c>
    </row>
    <row r="36" spans="1:7" x14ac:dyDescent="0.15">
      <c r="A36">
        <v>35</v>
      </c>
      <c r="B36">
        <f t="shared" si="0"/>
        <v>2672692</v>
      </c>
      <c r="C36">
        <f t="shared" si="1"/>
        <v>5</v>
      </c>
      <c r="D36">
        <v>35</v>
      </c>
      <c r="E36">
        <v>35</v>
      </c>
      <c r="F36">
        <f t="shared" si="3"/>
        <v>630</v>
      </c>
      <c r="G36">
        <f t="shared" si="2"/>
        <v>76364</v>
      </c>
    </row>
    <row r="37" spans="1:7" x14ac:dyDescent="0.15">
      <c r="A37">
        <v>36</v>
      </c>
      <c r="B37">
        <f t="shared" si="0"/>
        <v>3001270</v>
      </c>
      <c r="C37">
        <f t="shared" si="1"/>
        <v>5</v>
      </c>
      <c r="D37">
        <v>36</v>
      </c>
      <c r="E37">
        <v>36</v>
      </c>
      <c r="F37">
        <f t="shared" si="3"/>
        <v>666</v>
      </c>
      <c r="G37">
        <f t="shared" si="2"/>
        <v>83370</v>
      </c>
    </row>
    <row r="38" spans="1:7" x14ac:dyDescent="0.15">
      <c r="A38">
        <v>37</v>
      </c>
      <c r="B38">
        <f t="shared" si="0"/>
        <v>3359252</v>
      </c>
      <c r="C38">
        <f t="shared" si="1"/>
        <v>5</v>
      </c>
      <c r="D38">
        <v>37</v>
      </c>
      <c r="E38">
        <v>37</v>
      </c>
      <c r="F38">
        <f t="shared" si="3"/>
        <v>703</v>
      </c>
      <c r="G38">
        <f t="shared" si="2"/>
        <v>90792</v>
      </c>
    </row>
    <row r="39" spans="1:7" x14ac:dyDescent="0.15">
      <c r="A39">
        <v>38</v>
      </c>
      <c r="B39">
        <f t="shared" si="0"/>
        <v>3748342</v>
      </c>
      <c r="C39">
        <f t="shared" si="1"/>
        <v>5</v>
      </c>
      <c r="D39">
        <v>38</v>
      </c>
      <c r="E39">
        <v>38</v>
      </c>
      <c r="F39">
        <f t="shared" si="3"/>
        <v>741</v>
      </c>
      <c r="G39">
        <f t="shared" si="2"/>
        <v>98642</v>
      </c>
    </row>
    <row r="40" spans="1:7" x14ac:dyDescent="0.15">
      <c r="A40">
        <v>39</v>
      </c>
      <c r="B40">
        <f t="shared" si="0"/>
        <v>4170292</v>
      </c>
      <c r="C40">
        <f t="shared" si="1"/>
        <v>5</v>
      </c>
      <c r="D40">
        <v>39</v>
      </c>
      <c r="E40">
        <v>39</v>
      </c>
      <c r="F40">
        <f t="shared" si="3"/>
        <v>780</v>
      </c>
      <c r="G40">
        <f t="shared" si="2"/>
        <v>106932</v>
      </c>
    </row>
    <row r="41" spans="1:7" x14ac:dyDescent="0.15">
      <c r="A41">
        <v>40</v>
      </c>
      <c r="B41">
        <f t="shared" si="0"/>
        <v>4626902</v>
      </c>
      <c r="C41">
        <f t="shared" si="1"/>
        <v>6</v>
      </c>
      <c r="D41">
        <v>40</v>
      </c>
      <c r="E41">
        <v>40</v>
      </c>
      <c r="F41">
        <f t="shared" si="3"/>
        <v>820</v>
      </c>
      <c r="G41">
        <f t="shared" si="2"/>
        <v>115674</v>
      </c>
    </row>
    <row r="42" spans="1:7" x14ac:dyDescent="0.15">
      <c r="A42">
        <v>41</v>
      </c>
      <c r="B42">
        <f t="shared" si="0"/>
        <v>5120020</v>
      </c>
      <c r="C42">
        <f t="shared" si="1"/>
        <v>6</v>
      </c>
      <c r="D42">
        <v>41</v>
      </c>
      <c r="E42">
        <v>41</v>
      </c>
      <c r="F42">
        <f t="shared" si="3"/>
        <v>861</v>
      </c>
      <c r="G42">
        <f t="shared" si="2"/>
        <v>124880</v>
      </c>
    </row>
    <row r="43" spans="1:7" x14ac:dyDescent="0.15">
      <c r="A43">
        <v>42</v>
      </c>
      <c r="B43">
        <f t="shared" si="0"/>
        <v>5651542</v>
      </c>
      <c r="C43">
        <f t="shared" si="1"/>
        <v>6</v>
      </c>
      <c r="D43">
        <v>42</v>
      </c>
      <c r="E43">
        <v>42</v>
      </c>
      <c r="F43">
        <f t="shared" si="3"/>
        <v>903</v>
      </c>
      <c r="G43">
        <f t="shared" si="2"/>
        <v>134562</v>
      </c>
    </row>
    <row r="44" spans="1:7" x14ac:dyDescent="0.15">
      <c r="A44">
        <v>43</v>
      </c>
      <c r="B44">
        <f t="shared" si="0"/>
        <v>6223412</v>
      </c>
      <c r="C44">
        <f t="shared" si="1"/>
        <v>6</v>
      </c>
      <c r="D44">
        <v>43</v>
      </c>
      <c r="E44">
        <v>43</v>
      </c>
      <c r="F44">
        <f t="shared" si="3"/>
        <v>946</v>
      </c>
      <c r="G44">
        <f t="shared" si="2"/>
        <v>144732</v>
      </c>
    </row>
    <row r="45" spans="1:7" x14ac:dyDescent="0.15">
      <c r="A45">
        <v>44</v>
      </c>
      <c r="B45">
        <f t="shared" si="0"/>
        <v>6837622</v>
      </c>
      <c r="C45">
        <f t="shared" si="1"/>
        <v>6</v>
      </c>
      <c r="D45">
        <v>44</v>
      </c>
      <c r="E45">
        <v>44</v>
      </c>
      <c r="F45">
        <f t="shared" si="3"/>
        <v>990</v>
      </c>
      <c r="G45">
        <f t="shared" si="2"/>
        <v>155402</v>
      </c>
    </row>
    <row r="46" spans="1:7" x14ac:dyDescent="0.15">
      <c r="A46">
        <v>45</v>
      </c>
      <c r="B46">
        <f t="shared" si="0"/>
        <v>7496212</v>
      </c>
      <c r="C46">
        <f t="shared" si="1"/>
        <v>6</v>
      </c>
      <c r="D46">
        <v>45</v>
      </c>
      <c r="E46">
        <v>45</v>
      </c>
      <c r="F46">
        <f t="shared" si="3"/>
        <v>1035</v>
      </c>
      <c r="G46">
        <f t="shared" si="2"/>
        <v>166584</v>
      </c>
    </row>
    <row r="47" spans="1:7" x14ac:dyDescent="0.15">
      <c r="A47">
        <v>46</v>
      </c>
      <c r="B47">
        <f t="shared" si="0"/>
        <v>8201270</v>
      </c>
      <c r="C47">
        <f t="shared" si="1"/>
        <v>6</v>
      </c>
      <c r="D47">
        <v>46</v>
      </c>
      <c r="E47">
        <v>46</v>
      </c>
      <c r="F47">
        <f t="shared" si="3"/>
        <v>1081</v>
      </c>
      <c r="G47">
        <f t="shared" si="2"/>
        <v>178290</v>
      </c>
    </row>
    <row r="48" spans="1:7" x14ac:dyDescent="0.15">
      <c r="A48">
        <v>47</v>
      </c>
      <c r="B48">
        <f t="shared" si="0"/>
        <v>8954932</v>
      </c>
      <c r="C48">
        <f t="shared" si="1"/>
        <v>6</v>
      </c>
      <c r="D48">
        <v>47</v>
      </c>
      <c r="E48">
        <v>47</v>
      </c>
      <c r="F48">
        <f t="shared" si="3"/>
        <v>1128</v>
      </c>
      <c r="G48">
        <f t="shared" si="2"/>
        <v>190532</v>
      </c>
    </row>
    <row r="49" spans="1:7" x14ac:dyDescent="0.15">
      <c r="A49">
        <v>48</v>
      </c>
      <c r="B49">
        <f t="shared" si="0"/>
        <v>9759382</v>
      </c>
      <c r="C49">
        <f t="shared" si="1"/>
        <v>6</v>
      </c>
      <c r="D49">
        <v>48</v>
      </c>
      <c r="E49">
        <v>48</v>
      </c>
      <c r="F49">
        <f t="shared" si="3"/>
        <v>1176</v>
      </c>
      <c r="G49">
        <f t="shared" si="2"/>
        <v>203322</v>
      </c>
    </row>
    <row r="50" spans="1:7" x14ac:dyDescent="0.15">
      <c r="A50">
        <v>49</v>
      </c>
      <c r="B50">
        <f t="shared" si="0"/>
        <v>10616852</v>
      </c>
      <c r="C50">
        <f t="shared" si="1"/>
        <v>6</v>
      </c>
      <c r="D50">
        <v>49</v>
      </c>
      <c r="E50">
        <v>49</v>
      </c>
      <c r="F50">
        <f t="shared" si="3"/>
        <v>1225</v>
      </c>
      <c r="G50">
        <f t="shared" si="2"/>
        <v>216672</v>
      </c>
    </row>
    <row r="51" spans="1:7" x14ac:dyDescent="0.15">
      <c r="A51">
        <v>50</v>
      </c>
      <c r="B51">
        <f t="shared" si="0"/>
        <v>11529622</v>
      </c>
      <c r="C51">
        <f t="shared" si="1"/>
        <v>7</v>
      </c>
      <c r="D51">
        <v>50</v>
      </c>
      <c r="E51">
        <v>50</v>
      </c>
      <c r="F51">
        <f t="shared" si="3"/>
        <v>1275</v>
      </c>
      <c r="G51">
        <f t="shared" si="2"/>
        <v>230594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33"/>
  <sheetViews>
    <sheetView topLeftCell="A10" workbookViewId="0">
      <selection activeCell="A23" sqref="A23"/>
    </sheetView>
  </sheetViews>
  <sheetFormatPr defaultRowHeight="13.5" x14ac:dyDescent="0.15"/>
  <cols>
    <col min="1" max="1" width="18.25" customWidth="1"/>
    <col min="2" max="2" width="12.625" customWidth="1"/>
  </cols>
  <sheetData>
    <row r="1" spans="1:16" s="35" customFormat="1" x14ac:dyDescent="0.15">
      <c r="A1" s="30" t="s">
        <v>118</v>
      </c>
      <c r="B1" s="30" t="s">
        <v>119</v>
      </c>
      <c r="C1" s="30" t="s">
        <v>120</v>
      </c>
      <c r="D1" s="30" t="s">
        <v>9</v>
      </c>
      <c r="E1" s="30" t="s">
        <v>11</v>
      </c>
      <c r="F1" s="30" t="s">
        <v>13</v>
      </c>
      <c r="G1" s="30" t="s">
        <v>15</v>
      </c>
      <c r="H1" s="31" t="s">
        <v>21</v>
      </c>
      <c r="I1" s="31" t="s">
        <v>22</v>
      </c>
      <c r="J1" s="31" t="s">
        <v>23</v>
      </c>
      <c r="K1" s="31" t="s">
        <v>24</v>
      </c>
      <c r="L1" s="31" t="s">
        <v>25</v>
      </c>
      <c r="M1" s="31" t="s">
        <v>26</v>
      </c>
      <c r="N1" s="31" t="s">
        <v>27</v>
      </c>
      <c r="O1" s="31" t="s">
        <v>28</v>
      </c>
      <c r="P1" s="31" t="s">
        <v>40</v>
      </c>
    </row>
    <row r="2" spans="1:16" x14ac:dyDescent="0.15">
      <c r="A2" t="s">
        <v>144</v>
      </c>
      <c r="B2" t="s">
        <v>164</v>
      </c>
      <c r="C2">
        <v>1</v>
      </c>
      <c r="D2">
        <v>0</v>
      </c>
      <c r="E2">
        <v>0</v>
      </c>
      <c r="F2">
        <v>0</v>
      </c>
      <c r="G2">
        <v>0</v>
      </c>
      <c r="H2">
        <v>0</v>
      </c>
      <c r="I2">
        <v>252</v>
      </c>
      <c r="J2">
        <v>89</v>
      </c>
      <c r="K2">
        <v>126</v>
      </c>
      <c r="L2">
        <v>0</v>
      </c>
      <c r="M2">
        <v>0</v>
      </c>
      <c r="N2">
        <v>0</v>
      </c>
      <c r="O2">
        <v>0</v>
      </c>
      <c r="P2">
        <v>0</v>
      </c>
    </row>
    <row r="3" spans="1:16" x14ac:dyDescent="0.15">
      <c r="A3" t="s">
        <v>145</v>
      </c>
      <c r="B3" t="s">
        <v>148</v>
      </c>
      <c r="C3">
        <v>2</v>
      </c>
      <c r="D3">
        <v>0</v>
      </c>
      <c r="E3">
        <v>20</v>
      </c>
      <c r="F3">
        <v>0</v>
      </c>
      <c r="G3">
        <v>0</v>
      </c>
      <c r="H3">
        <v>0</v>
      </c>
      <c r="I3">
        <v>672</v>
      </c>
      <c r="J3">
        <v>0</v>
      </c>
      <c r="K3">
        <v>336</v>
      </c>
      <c r="L3">
        <v>178</v>
      </c>
      <c r="M3">
        <v>0</v>
      </c>
      <c r="N3">
        <v>0</v>
      </c>
      <c r="O3">
        <v>0</v>
      </c>
      <c r="P3">
        <v>0</v>
      </c>
    </row>
    <row r="4" spans="1:16" x14ac:dyDescent="0.15">
      <c r="A4" t="s">
        <v>146</v>
      </c>
      <c r="B4" t="s">
        <v>148</v>
      </c>
      <c r="C4">
        <v>2</v>
      </c>
      <c r="D4">
        <v>0</v>
      </c>
      <c r="E4">
        <v>0</v>
      </c>
      <c r="F4">
        <v>0</v>
      </c>
      <c r="G4">
        <v>20</v>
      </c>
      <c r="H4">
        <v>0</v>
      </c>
      <c r="I4">
        <v>672</v>
      </c>
      <c r="J4">
        <v>0</v>
      </c>
      <c r="K4">
        <v>336</v>
      </c>
      <c r="L4">
        <v>0</v>
      </c>
      <c r="M4">
        <v>0</v>
      </c>
      <c r="N4">
        <v>0</v>
      </c>
      <c r="O4">
        <v>24</v>
      </c>
      <c r="P4">
        <v>0</v>
      </c>
    </row>
    <row r="5" spans="1:16" x14ac:dyDescent="0.15">
      <c r="A5" t="s">
        <v>147</v>
      </c>
      <c r="B5" t="s">
        <v>148</v>
      </c>
      <c r="C5">
        <v>2</v>
      </c>
      <c r="D5">
        <v>20</v>
      </c>
      <c r="E5">
        <v>0</v>
      </c>
      <c r="F5">
        <v>0</v>
      </c>
      <c r="G5">
        <v>20</v>
      </c>
      <c r="H5">
        <v>478</v>
      </c>
      <c r="I5">
        <v>840</v>
      </c>
      <c r="J5">
        <v>0</v>
      </c>
      <c r="K5">
        <v>420</v>
      </c>
      <c r="L5">
        <v>0</v>
      </c>
      <c r="M5">
        <v>0</v>
      </c>
      <c r="N5">
        <v>0</v>
      </c>
      <c r="O5">
        <v>0</v>
      </c>
      <c r="P5">
        <v>0</v>
      </c>
    </row>
    <row r="12" spans="1:16" x14ac:dyDescent="0.15">
      <c r="A12" t="s">
        <v>166</v>
      </c>
      <c r="B12" t="s">
        <v>149</v>
      </c>
      <c r="C12">
        <v>1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178</v>
      </c>
      <c r="K12">
        <v>0</v>
      </c>
      <c r="L12">
        <v>158</v>
      </c>
      <c r="M12">
        <v>0</v>
      </c>
      <c r="N12">
        <v>36</v>
      </c>
      <c r="O12">
        <v>0</v>
      </c>
      <c r="P12">
        <v>2</v>
      </c>
    </row>
    <row r="13" spans="1:16" x14ac:dyDescent="0.15">
      <c r="A13" t="s">
        <v>167</v>
      </c>
      <c r="B13" t="s">
        <v>149</v>
      </c>
      <c r="C13">
        <v>2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267</v>
      </c>
      <c r="K13">
        <v>0</v>
      </c>
      <c r="L13">
        <v>237</v>
      </c>
      <c r="M13">
        <v>0</v>
      </c>
      <c r="N13">
        <v>72</v>
      </c>
      <c r="O13">
        <v>0</v>
      </c>
      <c r="P13">
        <v>0</v>
      </c>
    </row>
    <row r="14" spans="1:16" x14ac:dyDescent="0.15">
      <c r="A14" t="s">
        <v>151</v>
      </c>
      <c r="B14" t="s">
        <v>149</v>
      </c>
      <c r="C14">
        <v>2</v>
      </c>
      <c r="D14">
        <v>0</v>
      </c>
      <c r="E14">
        <v>0</v>
      </c>
      <c r="F14">
        <v>0</v>
      </c>
      <c r="G14">
        <v>0</v>
      </c>
      <c r="H14">
        <v>478</v>
      </c>
      <c r="I14">
        <v>0</v>
      </c>
      <c r="J14">
        <v>356</v>
      </c>
      <c r="K14">
        <v>296</v>
      </c>
      <c r="L14">
        <v>316</v>
      </c>
      <c r="M14">
        <v>0</v>
      </c>
      <c r="N14">
        <v>0</v>
      </c>
      <c r="O14">
        <v>0</v>
      </c>
      <c r="P14">
        <v>0</v>
      </c>
    </row>
    <row r="22" spans="1:16" x14ac:dyDescent="0.15">
      <c r="A22" t="s">
        <v>152</v>
      </c>
      <c r="B22" t="s">
        <v>153</v>
      </c>
      <c r="C22">
        <v>2</v>
      </c>
      <c r="D22">
        <v>0</v>
      </c>
      <c r="E22">
        <v>0</v>
      </c>
      <c r="F22">
        <v>0</v>
      </c>
      <c r="G22">
        <v>0</v>
      </c>
      <c r="H22">
        <v>468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</row>
    <row r="23" spans="1:16" x14ac:dyDescent="0.15">
      <c r="A23" t="s">
        <v>154</v>
      </c>
      <c r="B23" t="s">
        <v>153</v>
      </c>
      <c r="C23">
        <v>2</v>
      </c>
      <c r="D23">
        <v>0</v>
      </c>
      <c r="E23">
        <v>0</v>
      </c>
      <c r="F23">
        <v>20</v>
      </c>
      <c r="G23">
        <v>0</v>
      </c>
      <c r="H23">
        <v>936</v>
      </c>
      <c r="I23">
        <v>0</v>
      </c>
      <c r="J23">
        <v>0</v>
      </c>
      <c r="K23">
        <v>0</v>
      </c>
      <c r="L23">
        <v>0</v>
      </c>
      <c r="M23">
        <v>240</v>
      </c>
      <c r="N23">
        <v>0</v>
      </c>
      <c r="O23">
        <v>0</v>
      </c>
      <c r="P23">
        <v>0</v>
      </c>
    </row>
    <row r="24" spans="1:16" x14ac:dyDescent="0.15">
      <c r="A24" t="s">
        <v>162</v>
      </c>
      <c r="B24" t="s">
        <v>163</v>
      </c>
      <c r="C24">
        <v>2</v>
      </c>
      <c r="D24">
        <v>0</v>
      </c>
      <c r="E24">
        <v>0</v>
      </c>
      <c r="F24">
        <v>0</v>
      </c>
      <c r="G24">
        <v>0</v>
      </c>
      <c r="H24">
        <v>315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4</v>
      </c>
    </row>
    <row r="32" spans="1:16" x14ac:dyDescent="0.1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</row>
    <row r="33" spans="1:16" x14ac:dyDescent="0.15">
      <c r="A33" t="s">
        <v>133</v>
      </c>
      <c r="B33" t="s">
        <v>133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登录界面</vt:lpstr>
      <vt:lpstr>战斗界面</vt:lpstr>
      <vt:lpstr>地图和怪物数值</vt:lpstr>
      <vt:lpstr>人物属性</vt:lpstr>
      <vt:lpstr>装备属性</vt:lpstr>
      <vt:lpstr>经验表</vt:lpstr>
      <vt:lpstr>装备生成表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2016-03-24T08:32:58Z</dcterms:modified>
</cp:coreProperties>
</file>